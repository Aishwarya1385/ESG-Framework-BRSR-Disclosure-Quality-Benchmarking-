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ishwarya\Desktop\JD\Project\brsr\"/>
    </mc:Choice>
  </mc:AlternateContent>
  <xr:revisionPtr revIDLastSave="0" documentId="13_ncr:1_{87CAC6FB-23D7-4D16-92D6-567CB336FC88}" xr6:coauthVersionLast="47" xr6:coauthVersionMax="47" xr10:uidLastSave="{00000000-0000-0000-0000-000000000000}"/>
  <bookViews>
    <workbookView xWindow="-108" yWindow="-108" windowWidth="23256" windowHeight="13176" activeTab="2" xr2:uid="{947B4F4B-9309-4D05-B644-465C70EB6896}"/>
  </bookViews>
  <sheets>
    <sheet name="ESG metrics" sheetId="8" r:id="rId1"/>
    <sheet name="Nifty 50" sheetId="1" r:id="rId2"/>
    <sheet name="aNALYSIS" sheetId="15" r:id="rId3"/>
    <sheet name="Analsysi 2" sheetId="16" r:id="rId4"/>
    <sheet name="Environmnet" sheetId="9" r:id="rId5"/>
    <sheet name="Social " sheetId="10" r:id="rId6"/>
    <sheet name="Governance" sheetId="11" r:id="rId7"/>
  </sheets>
  <definedNames>
    <definedName name="home">'Nifty 50'!$Y$10:$XFD$14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5" i="15" l="1"/>
  <c r="W6" i="15"/>
  <c r="W7" i="15"/>
  <c r="W8" i="15"/>
  <c r="W9" i="15"/>
  <c r="W10" i="15"/>
  <c r="W4" i="15"/>
  <c r="L5" i="10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C34" i="11"/>
  <c r="D33" i="11"/>
  <c r="E33" i="11"/>
  <c r="F33" i="11"/>
  <c r="G33" i="11"/>
  <c r="H33" i="11"/>
  <c r="I33" i="11"/>
  <c r="D34" i="11"/>
  <c r="E34" i="11"/>
  <c r="F34" i="11"/>
  <c r="G34" i="11"/>
  <c r="H34" i="11"/>
  <c r="I34" i="11"/>
  <c r="C3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" i="11"/>
  <c r="F35" i="10"/>
  <c r="G35" i="10"/>
  <c r="H35" i="10"/>
  <c r="I35" i="10"/>
  <c r="J35" i="10"/>
  <c r="D35" i="10"/>
  <c r="E35" i="10"/>
  <c r="K35" i="10"/>
  <c r="C35" i="10"/>
  <c r="L4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" i="10"/>
  <c r="E34" i="10"/>
  <c r="F34" i="10"/>
  <c r="G34" i="10"/>
  <c r="H34" i="10"/>
  <c r="I34" i="10"/>
  <c r="J34" i="10"/>
  <c r="K34" i="10"/>
  <c r="D34" i="10"/>
  <c r="C34" i="10"/>
  <c r="D33" i="9"/>
  <c r="D35" i="9" s="1"/>
  <c r="E33" i="9"/>
  <c r="E35" i="9" s="1"/>
  <c r="F33" i="9"/>
  <c r="F35" i="9" s="1"/>
  <c r="G33" i="9"/>
  <c r="G35" i="9" s="1"/>
  <c r="H33" i="9"/>
  <c r="H35" i="9" s="1"/>
  <c r="I33" i="9"/>
  <c r="I35" i="9" s="1"/>
  <c r="J33" i="9"/>
  <c r="J35" i="9" s="1"/>
  <c r="K33" i="9"/>
  <c r="K35" i="9" s="1"/>
  <c r="L33" i="9"/>
  <c r="L35" i="9" s="1"/>
  <c r="M33" i="9"/>
  <c r="M35" i="9" s="1"/>
  <c r="N33" i="9"/>
  <c r="N35" i="9" s="1"/>
  <c r="C33" i="9"/>
  <c r="C35" i="9" s="1"/>
</calcChain>
</file>

<file path=xl/sharedStrings.xml><?xml version="1.0" encoding="utf-8"?>
<sst xmlns="http://schemas.openxmlformats.org/spreadsheetml/2006/main" count="604" uniqueCount="241">
  <si>
    <t>CMP Rs.</t>
  </si>
  <si>
    <t>P/E</t>
  </si>
  <si>
    <t>Mar Cap Rs.Cr.</t>
  </si>
  <si>
    <t>Div Yld %</t>
  </si>
  <si>
    <t>NP Qtr Rs.Cr.</t>
  </si>
  <si>
    <t>Qtr Profit Var %</t>
  </si>
  <si>
    <t>Sales Qtr Rs.Cr.</t>
  </si>
  <si>
    <t>Qtr Sales Var %</t>
  </si>
  <si>
    <t>ROCE %</t>
  </si>
  <si>
    <t>ICICI Bank</t>
  </si>
  <si>
    <t>Larsen &amp; Toubro</t>
  </si>
  <si>
    <t>Infosys</t>
  </si>
  <si>
    <t>Maruti Suzuki</t>
  </si>
  <si>
    <t>JSW Steel</t>
  </si>
  <si>
    <t>Tata Steel</t>
  </si>
  <si>
    <t>Wipro</t>
  </si>
  <si>
    <t>Tech Mahindra</t>
  </si>
  <si>
    <t>Industry</t>
  </si>
  <si>
    <t>Metals &amp; Mining</t>
  </si>
  <si>
    <t>Healthcare</t>
  </si>
  <si>
    <t>Financial Services</t>
  </si>
  <si>
    <t>Automobile and Auto Components</t>
  </si>
  <si>
    <t>Construction Materials</t>
  </si>
  <si>
    <t>Information Technology</t>
  </si>
  <si>
    <t>Construction</t>
  </si>
  <si>
    <t>Nifty Rank</t>
  </si>
  <si>
    <t>Company</t>
  </si>
  <si>
    <t>Company Name</t>
  </si>
  <si>
    <t>State Bank of India</t>
  </si>
  <si>
    <t xml:space="preserve">Adani Enterprises </t>
  </si>
  <si>
    <t xml:space="preserve">Apollo Hospitals Enterprise </t>
  </si>
  <si>
    <t xml:space="preserve">Axis Bank </t>
  </si>
  <si>
    <t xml:space="preserve">Bajaj Auto </t>
  </si>
  <si>
    <t xml:space="preserve">Bajaj Finserv </t>
  </si>
  <si>
    <t xml:space="preserve">Cipla </t>
  </si>
  <si>
    <t xml:space="preserve">Dr. Reddy's Laboratories </t>
  </si>
  <si>
    <t xml:space="preserve">Eicher Motors </t>
  </si>
  <si>
    <t xml:space="preserve">Grasim Industries </t>
  </si>
  <si>
    <t xml:space="preserve">HCL Technologies </t>
  </si>
  <si>
    <t xml:space="preserve">HDFC Bank </t>
  </si>
  <si>
    <t xml:space="preserve">Hindalco Industries </t>
  </si>
  <si>
    <t xml:space="preserve">Mahindra &amp; Mahindra </t>
  </si>
  <si>
    <t xml:space="preserve">Max Healthcare Institute </t>
  </si>
  <si>
    <t xml:space="preserve">Sun Pharmaceutical Industries </t>
  </si>
  <si>
    <t xml:space="preserve">Tata Consultancy Services </t>
  </si>
  <si>
    <t xml:space="preserve">Tata Motors Passenger Vehicles </t>
  </si>
  <si>
    <t xml:space="preserve">UltraTech Cement </t>
  </si>
  <si>
    <t>Metric</t>
  </si>
  <si>
    <t>Why it matters</t>
  </si>
  <si>
    <t>Scope 1 GHG emissions</t>
  </si>
  <si>
    <t>Direct emissions</t>
  </si>
  <si>
    <t>Scope 2 GHG emissions</t>
  </si>
  <si>
    <t>Purchased electricity emissions</t>
  </si>
  <si>
    <t>Scope 3 GHG emissions</t>
  </si>
  <si>
    <t>Supply chain impact (often largest)</t>
  </si>
  <si>
    <t>Emission intensity</t>
  </si>
  <si>
    <t>Fair comparison across company sizes</t>
  </si>
  <si>
    <t>Total energy consumption</t>
  </si>
  <si>
    <t>Operational efficiency</t>
  </si>
  <si>
    <t>Renewable energy %</t>
  </si>
  <si>
    <t>Energy transition</t>
  </si>
  <si>
    <t>Water withdrawal</t>
  </si>
  <si>
    <t>Resource use</t>
  </si>
  <si>
    <t>Water recycled (%)</t>
  </si>
  <si>
    <t>Water management</t>
  </si>
  <si>
    <t>Waste generated</t>
  </si>
  <si>
    <t>Operational impact</t>
  </si>
  <si>
    <t>Waste recycled (%)</t>
  </si>
  <si>
    <t>Circular economy</t>
  </si>
  <si>
    <t>Net Zero target</t>
  </si>
  <si>
    <t>Long-term climate commitment</t>
  </si>
  <si>
    <t>External assurance of environmental data</t>
  </si>
  <si>
    <t>Credibility</t>
  </si>
  <si>
    <t>Women employees (%)</t>
  </si>
  <si>
    <t>Workforce diversity</t>
  </si>
  <si>
    <t>Women on Board (%)</t>
  </si>
  <si>
    <t>Governance diversity</t>
  </si>
  <si>
    <t>Employee turnover</t>
  </si>
  <si>
    <t>Workforce stability</t>
  </si>
  <si>
    <t>Human capital investment</t>
  </si>
  <si>
    <t>Lost Time Injury Frequency Rate (LTIFR)</t>
  </si>
  <si>
    <t>Worker safety</t>
  </si>
  <si>
    <t>Fatalities</t>
  </si>
  <si>
    <t>Critical safety indicator</t>
  </si>
  <si>
    <t>Human rights policy</t>
  </si>
  <si>
    <t>Responsible business</t>
  </si>
  <si>
    <t>Supplier ESG assessment</t>
  </si>
  <si>
    <t>Supply chain responsibility</t>
  </si>
  <si>
    <t>Community investment / CSR</t>
  </si>
  <si>
    <t>Social impact</t>
  </si>
  <si>
    <t>Independent directors (%)</t>
  </si>
  <si>
    <t>Board independence</t>
  </si>
  <si>
    <t>ESG governance at Board level</t>
  </si>
  <si>
    <t>Strategic oversight</t>
  </si>
  <si>
    <t>Anti-corruption policy</t>
  </si>
  <si>
    <t>Ethical governance</t>
  </si>
  <si>
    <t>Whistleblower mechanism</t>
  </si>
  <si>
    <t>Transparency</t>
  </si>
  <si>
    <t>Number of corruption cases</t>
  </si>
  <si>
    <t>Governance effectiveness</t>
  </si>
  <si>
    <t>Data privacy &amp; cybersecurity governance</t>
  </si>
  <si>
    <t>Modern governance risk</t>
  </si>
  <si>
    <t>External ESG assurance</t>
  </si>
  <si>
    <t>Reliability of disclosures</t>
  </si>
  <si>
    <t>Rating</t>
  </si>
  <si>
    <t xml:space="preserve"> No Disclosure</t>
  </si>
  <si>
    <t xml:space="preserve"> Narrative Disclosure</t>
  </si>
  <si>
    <t xml:space="preserve"> Basic Quantitative Disclosure</t>
  </si>
  <si>
    <t xml:space="preserve"> Comprehensive Disclosure</t>
  </si>
  <si>
    <t>Disclosure</t>
  </si>
  <si>
    <t xml:space="preserve">Environment </t>
  </si>
  <si>
    <t xml:space="preserve">Social </t>
  </si>
  <si>
    <t xml:space="preserve">Governance </t>
  </si>
  <si>
    <t>Scope 2 GHG Emission</t>
  </si>
  <si>
    <t>Scope 3 GHG Emission</t>
  </si>
  <si>
    <t>Emission Intensity</t>
  </si>
  <si>
    <t>Total Energy Consumption</t>
  </si>
  <si>
    <t>Renewable Energy %</t>
  </si>
  <si>
    <t>Water Withdrawal</t>
  </si>
  <si>
    <t>Water Recycled (%)</t>
  </si>
  <si>
    <t>Waste Generated</t>
  </si>
  <si>
    <t>Waste Recycled (%)</t>
  </si>
  <si>
    <t>Net Zero Target</t>
  </si>
  <si>
    <t>External Assurance of Environmental Data</t>
  </si>
  <si>
    <t>Construction &amp; Materials</t>
  </si>
  <si>
    <t>Social</t>
  </si>
  <si>
    <t>Women Employees (%)</t>
  </si>
  <si>
    <t>Women On Board (%)</t>
  </si>
  <si>
    <t>Employee Turnover</t>
  </si>
  <si>
    <t>Human Rights Policy</t>
  </si>
  <si>
    <t>Supplier ESG Assessment</t>
  </si>
  <si>
    <t>Community Investment / CSR</t>
  </si>
  <si>
    <t>Governance</t>
  </si>
  <si>
    <t>Scope 1 GHG Emission</t>
  </si>
  <si>
    <t>Environment</t>
  </si>
  <si>
    <t>Independent Directors (%)</t>
  </si>
  <si>
    <t>ESG Governance at Board Level</t>
  </si>
  <si>
    <t xml:space="preserve">Total </t>
  </si>
  <si>
    <t xml:space="preserve">Bajaj FinServ </t>
  </si>
  <si>
    <t>Row Labels</t>
  </si>
  <si>
    <t>Grand Total</t>
  </si>
  <si>
    <t>AVERAGE OF</t>
  </si>
  <si>
    <t xml:space="preserve"> Scope 1 GHG Emission</t>
  </si>
  <si>
    <t xml:space="preserve"> Scope 2 GHG Emission</t>
  </si>
  <si>
    <t xml:space="preserve"> Scope 3 GHG Emission</t>
  </si>
  <si>
    <t xml:space="preserve"> Emission Intensity</t>
  </si>
  <si>
    <t xml:space="preserve"> Total Energy Consumption</t>
  </si>
  <si>
    <t xml:space="preserve"> Renewable Energy %</t>
  </si>
  <si>
    <t xml:space="preserve"> Waste Recycled (%)</t>
  </si>
  <si>
    <t xml:space="preserve"> Net Zero Target</t>
  </si>
  <si>
    <t xml:space="preserve"> Waste Generated</t>
  </si>
  <si>
    <t xml:space="preserve"> Water Recycled (%)</t>
  </si>
  <si>
    <t xml:space="preserve"> External Assurance of Environmental Data</t>
  </si>
  <si>
    <t xml:space="preserve"> Water Withdrawal</t>
  </si>
  <si>
    <t xml:space="preserve"> BRSR DISCLOSURE QUALITY-ENVIRONMENT</t>
  </si>
  <si>
    <t>NO.</t>
  </si>
  <si>
    <t>Average</t>
  </si>
  <si>
    <t>Analysis color codes</t>
  </si>
  <si>
    <t xml:space="preserve"> Score above 2.8 - Comprehensive Disclosure</t>
  </si>
  <si>
    <t>Score between 2 to 2.8 - Standardized Disclosure</t>
  </si>
  <si>
    <t>Score less than 2 - Basic Disclosure</t>
  </si>
  <si>
    <t>Total Environmental Discosure rating  wrt to each metrics</t>
  </si>
  <si>
    <t>Total Social Discosure rating  wrt to each metrics</t>
  </si>
  <si>
    <t>Average training hours per employee</t>
  </si>
  <si>
    <t>Average Training Hours (PP)</t>
  </si>
  <si>
    <t>#F8FEAC</t>
  </si>
  <si>
    <t>No  Disclosure</t>
  </si>
  <si>
    <t xml:space="preserve"> Women Employees (%)</t>
  </si>
  <si>
    <t xml:space="preserve"> Women On Board (%)</t>
  </si>
  <si>
    <t xml:space="preserve"> Training Hours (PP)</t>
  </si>
  <si>
    <t xml:space="preserve"> Employee Turnover</t>
  </si>
  <si>
    <t xml:space="preserve"> Lost Time Injury Frequency Rate (LTIFR)</t>
  </si>
  <si>
    <t xml:space="preserve"> Fatalities</t>
  </si>
  <si>
    <t xml:space="preserve"> Human Rights Policy</t>
  </si>
  <si>
    <t xml:space="preserve"> Supplier ESG Assessment</t>
  </si>
  <si>
    <t xml:space="preserve"> Community Investment / CSR</t>
  </si>
  <si>
    <t xml:space="preserve"> BRSR DISCLOSURE QUALITY-SOCIAL</t>
  </si>
  <si>
    <t xml:space="preserve"> Independent Directors (%)</t>
  </si>
  <si>
    <t xml:space="preserve"> ESG Governance at Board Level</t>
  </si>
  <si>
    <t xml:space="preserve"> Anti-corruption policy</t>
  </si>
  <si>
    <t>Average of Whistleblower mechanism</t>
  </si>
  <si>
    <t xml:space="preserve"> Number of corruption cases</t>
  </si>
  <si>
    <t xml:space="preserve"> Data privacy &amp; cybersecurity governance</t>
  </si>
  <si>
    <t xml:space="preserve"> External ESG assurance</t>
  </si>
  <si>
    <t>Governence</t>
  </si>
  <si>
    <t>Enviroment</t>
  </si>
  <si>
    <t>Interpretation</t>
  </si>
  <si>
    <t>BRSR Mandatory Requirement</t>
  </si>
  <si>
    <t>RDB (0–3)</t>
  </si>
  <si>
    <t>Industry Applicability</t>
  </si>
  <si>
    <t>Mandatory disclosure of Scope 1 emissions, prescribed emission intensity, calculation methodology, standards and assumptions.</t>
  </si>
  <si>
    <t>Mandatory disclosure of Scope 2 emissions, prescribed emission intensity, methodology and calculation basis.</t>
  </si>
  <si>
    <t>Mandatory disclosure of total Scope 3 emissions with methodology and emission factors. Voluntary elements excluded from scoring.</t>
  </si>
  <si>
    <t>Mandatory disclosure of emission intensity per turnover. Additional ratios are voluntary.</t>
  </si>
  <si>
    <t>Universal</t>
  </si>
  <si>
    <t>Mandatory disclosure of total energy consumption.</t>
  </si>
  <si>
    <t>Mandatory disclosure of renewable energy consumed and share in total energy consumption.</t>
  </si>
  <si>
    <t>Mandatory disclosure of water withdrawn by source.</t>
  </si>
  <si>
    <t>Mandatory disclosure of water recycled/reused where applicable.</t>
  </si>
  <si>
    <t>Mandatory disclosure of waste generated by category.</t>
  </si>
  <si>
    <t>Mandatory disclosure of recycled/recovered waste.</t>
  </si>
  <si>
    <t>No mandatory requirement under BRSR.</t>
  </si>
  <si>
    <t>Universal (Not Mandatory)</t>
  </si>
  <si>
    <t>Mandatory disclosure whether external assurance has been obtained and the assurance provider.</t>
  </si>
  <si>
    <t>Mandatory disclosure of workforce composition, including women employees.</t>
  </si>
  <si>
    <t>Mandatory disclosure of women directors as part of governance and workforce disclosures.</t>
  </si>
  <si>
    <t>Mandatory disclosure of employee turnover by category.</t>
  </si>
  <si>
    <t>Mandatory disclosure of average training hours per employee category.</t>
  </si>
  <si>
    <t>Mandatory disclosure of LTIFR for employees and workers.</t>
  </si>
  <si>
    <t>Mandatory disclosure of work-related fatalities for employees and workers.</t>
  </si>
  <si>
    <t>Mandatory disclosure regarding human rights commitments, policies and grievance mechanisms where prescribed.</t>
  </si>
  <si>
    <t>Mandatory disclosure of ESG assessment of suppliers under responsible sourcing indicators.</t>
  </si>
  <si>
    <t>Mandatory disclosure of CSR expenditure and community development initiatives where Companies Act CSR provisions apply.</t>
  </si>
  <si>
    <t>Mandatory disclosure of Board composition, including the number and proportion of independent directors.</t>
  </si>
  <si>
    <t>Mandatory disclosure of Board oversight, governance structure, responsibility for sustainability issues, and implementation processes.</t>
  </si>
  <si>
    <t>Mandatory disclosure regarding anti-bribery/anti-corruption policies, governance mechanisms, and implementation.</t>
  </si>
  <si>
    <t>Mandatory disclosure of grievance/whistleblower mechanisms and processes available to employees and stakeholders.</t>
  </si>
  <si>
    <t>Mandatory disclosure of confirmed incidents, disciplinary actions and legal cases relating to corruption/bribery, where applicable.</t>
  </si>
  <si>
    <t>Mandatory disclosure regarding data privacy, cybersecurity governance, customer complaints/breaches where prescribed.</t>
  </si>
  <si>
    <t>NA</t>
  </si>
  <si>
    <t>Composite</t>
  </si>
  <si>
    <t>Disclosure of whether the BRSR/Core disclosures have been subjected to independent external assurance, including the scope and assurance provider, where applicable.</t>
  </si>
  <si>
    <r>
      <t>Universal</t>
    </r>
    <r>
      <rPr>
        <sz val="9"/>
        <color theme="1"/>
        <rFont val="Arial"/>
        <family val="2"/>
      </rPr>
      <t xml:space="preserve"> </t>
    </r>
  </si>
  <si>
    <r>
      <t>Conditional</t>
    </r>
    <r>
      <rPr>
        <sz val="9"/>
        <color theme="1"/>
        <rFont val="Arial"/>
        <family val="2"/>
      </rPr>
      <t xml:space="preserve"> – Applicable where Scope 3 emissions are material.</t>
    </r>
  </si>
  <si>
    <r>
      <t>Conditional</t>
    </r>
    <r>
      <rPr>
        <sz val="9"/>
        <color theme="1"/>
        <rFont val="Arial"/>
        <family val="2"/>
      </rPr>
      <t xml:space="preserve"> – Primarily relevant to water-intensive industries. Service entities may disclose "Not Applicable" with justification where permitted.</t>
    </r>
  </si>
  <si>
    <r>
      <t>Conditional</t>
    </r>
    <r>
      <rPr>
        <sz val="9"/>
        <color theme="1"/>
        <rFont val="Arial"/>
        <family val="2"/>
      </rPr>
      <t xml:space="preserve"> – Particularly relevant for manufacturing, utilities, mining, chemicals, metals, food processing and pharma.</t>
    </r>
  </si>
  <si>
    <r>
      <t>Conditional</t>
    </r>
    <r>
      <rPr>
        <sz val="9"/>
        <color theme="1"/>
        <rFont val="Arial"/>
        <family val="2"/>
      </rPr>
      <t xml:space="preserve"> – Some sectors may report "Not Applicable" for specific waste streams with justification.</t>
    </r>
  </si>
  <si>
    <r>
      <t>Conditional</t>
    </r>
    <r>
      <rPr>
        <sz val="9"/>
        <color theme="1"/>
        <rFont val="Arial"/>
        <family val="2"/>
      </rPr>
      <t xml:space="preserve"> – Primarily applicable to entities with procurement or supply-chain operations. Asset-light service entities may disclose limited or not applicable information with justification where appropriate.</t>
    </r>
  </si>
  <si>
    <r>
      <t>Conditional</t>
    </r>
    <r>
      <rPr>
        <sz val="9"/>
        <color theme="1"/>
        <rFont val="Arial"/>
        <family val="2"/>
      </rPr>
      <t xml:space="preserve"> – Applicable to entities covered under the Companies Act CSR provisions; others may report as not applicable where legally exempt.</t>
    </r>
  </si>
  <si>
    <r>
      <t>Conditional</t>
    </r>
    <r>
      <rPr>
        <sz val="9"/>
        <color theme="1"/>
        <rFont val="Arial"/>
        <family val="2"/>
      </rPr>
      <t xml:space="preserve"> – Applicable where incidents exist. If no cases occurred, entities disclose </t>
    </r>
    <r>
      <rPr>
        <b/>
        <sz val="9"/>
        <color theme="1"/>
        <rFont val="Arial"/>
        <family val="2"/>
      </rPr>
      <t>Nil/Zero</t>
    </r>
    <r>
      <rPr>
        <sz val="9"/>
        <color theme="1"/>
        <rFont val="Arial"/>
        <family val="2"/>
      </rPr>
      <t>, not "Not Applicable".</t>
    </r>
  </si>
  <si>
    <t xml:space="preserve"> Average</t>
  </si>
  <si>
    <t>ENVIRONMENT</t>
  </si>
  <si>
    <t>SOCIAL</t>
  </si>
  <si>
    <t xml:space="preserve"> BRSR DISCLOSURE QUALITY-GOVERNANCE</t>
  </si>
  <si>
    <t>GOVERNANCE</t>
  </si>
  <si>
    <t xml:space="preserve"> ENVIRONMENT</t>
  </si>
  <si>
    <t xml:space="preserve"> GOVERNANCE</t>
  </si>
  <si>
    <t xml:space="preserve"> SOCIAL</t>
  </si>
  <si>
    <t>Cross-Cutting Disclosure Gaps (Metric-Level)</t>
  </si>
  <si>
    <t>Avg (0-3)</t>
  </si>
  <si>
    <t xml:space="preserve">Metric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</si>
</sst>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 x14ac:knownFonts="1"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b/>
      <sz val="12"/>
      <color theme="1"/>
      <name val="Arial"/>
      <family val="2"/>
    </font>
    <font>
      <b/>
      <sz val="14"/>
      <color theme="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0"/>
      <color theme="0"/>
      <name val="Arial"/>
      <family val="2"/>
    </font>
    <font>
      <sz val="10"/>
      <color theme="1" tint="4.9989318521683403E-2"/>
      <name val="Arial"/>
      <family val="2"/>
    </font>
    <font>
      <sz val="11"/>
      <color theme="1"/>
      <name val="Arial"/>
      <family val="2"/>
    </font>
    <font>
      <sz val="11"/>
      <color theme="1" tint="4.9989318521683403E-2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D1FC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8FEA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89999084444715716"/>
        <bgColor indexed="64"/>
      </patternFill>
    </fill>
  </fills>
  <borders count="5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thin">
        <color theme="2" tint="-9.9978637043366805E-2"/>
      </top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 style="thin">
        <color theme="2" tint="-9.9978637043366805E-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2" tint="-9.9978637043366805E-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2" tint="-9.9978637043366805E-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2" tint="-9.9978637043366805E-2"/>
      </top>
      <bottom/>
      <diagonal/>
    </border>
    <border>
      <left style="medium">
        <color theme="1" tint="0.499984740745262"/>
      </left>
      <right style="medium">
        <color theme="1" tint="0.499984740745262"/>
      </right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medium">
        <color theme="1" tint="0.499984740745262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medium">
        <color theme="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medium">
        <color theme="2" tint="-0.249977111117893"/>
      </bottom>
      <diagonal/>
    </border>
    <border>
      <left style="medium">
        <color theme="9"/>
      </left>
      <right style="thin">
        <color theme="9"/>
      </right>
      <top/>
      <bottom style="medium">
        <color theme="9"/>
      </bottom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  <border>
      <left/>
      <right style="thin">
        <color theme="9"/>
      </right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medium">
        <color theme="9"/>
      </top>
      <bottom/>
      <diagonal/>
    </border>
    <border>
      <left style="thin">
        <color theme="2" tint="-9.9978637043366805E-2"/>
      </left>
      <right/>
      <top style="thin">
        <color theme="4" tint="0.39997558519241921"/>
      </top>
      <bottom/>
      <diagonal/>
    </border>
    <border>
      <left style="thin">
        <color theme="2" tint="-9.9978637043366805E-2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86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/>
    <xf numFmtId="0" fontId="9" fillId="0" borderId="0" xfId="0" applyFont="1"/>
    <xf numFmtId="0" fontId="1" fillId="2" borderId="1" xfId="0" applyFont="1" applyFill="1" applyBorder="1"/>
    <xf numFmtId="0" fontId="5" fillId="0" borderId="1" xfId="0" applyFont="1" applyBorder="1" applyAlignment="1">
      <alignment horizontal="right" vertical="center" wrapText="1" indent="1"/>
    </xf>
    <xf numFmtId="0" fontId="5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11" fillId="0" borderId="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0" fontId="0" fillId="5" borderId="16" xfId="0" applyFill="1" applyBorder="1" applyAlignment="1">
      <alignment vertical="center" wrapText="1"/>
    </xf>
    <xf numFmtId="0" fontId="0" fillId="5" borderId="17" xfId="0" applyFill="1" applyBorder="1" applyAlignment="1">
      <alignment vertical="center" wrapText="1"/>
    </xf>
    <xf numFmtId="0" fontId="0" fillId="5" borderId="18" xfId="0" applyFill="1" applyBorder="1" applyAlignment="1">
      <alignment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5" borderId="18" xfId="0" applyFill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2" fontId="9" fillId="0" borderId="0" xfId="0" applyNumberFormat="1" applyFont="1"/>
    <xf numFmtId="0" fontId="0" fillId="0" borderId="0" xfId="0" applyAlignment="1">
      <alignment horizont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left" vertical="center" wrapText="1"/>
    </xf>
    <xf numFmtId="0" fontId="0" fillId="0" borderId="5" xfId="0" applyBorder="1"/>
    <xf numFmtId="0" fontId="4" fillId="0" borderId="28" xfId="0" applyFont="1" applyBorder="1" applyAlignment="1">
      <alignment horizontal="left" vertical="center" indent="1"/>
    </xf>
    <xf numFmtId="0" fontId="0" fillId="0" borderId="0" xfId="0" applyAlignment="1">
      <alignment horizontal="left" vertical="top"/>
    </xf>
    <xf numFmtId="0" fontId="0" fillId="0" borderId="2" xfId="0" applyBorder="1"/>
    <xf numFmtId="0" fontId="0" fillId="0" borderId="4" xfId="0" applyBorder="1"/>
    <xf numFmtId="0" fontId="0" fillId="5" borderId="15" xfId="0" applyFill="1" applyBorder="1" applyAlignment="1">
      <alignment vertical="center"/>
    </xf>
    <xf numFmtId="2" fontId="0" fillId="0" borderId="10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65" fontId="0" fillId="0" borderId="0" xfId="0" applyNumberFormat="1"/>
    <xf numFmtId="0" fontId="0" fillId="0" borderId="8" xfId="0" applyBorder="1"/>
    <xf numFmtId="2" fontId="0" fillId="0" borderId="14" xfId="0" applyNumberForma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0" fontId="2" fillId="0" borderId="0" xfId="0" applyFont="1"/>
    <xf numFmtId="0" fontId="8" fillId="5" borderId="13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8" fillId="5" borderId="19" xfId="0" applyFont="1" applyFill="1" applyBorder="1" applyAlignment="1">
      <alignment horizontal="left" vertical="center" wrapText="1"/>
    </xf>
    <xf numFmtId="0" fontId="8" fillId="5" borderId="25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8" fillId="5" borderId="11" xfId="0" applyFont="1" applyFill="1" applyBorder="1" applyAlignment="1">
      <alignment horizontal="left" vertical="center" wrapText="1"/>
    </xf>
    <xf numFmtId="0" fontId="8" fillId="5" borderId="14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2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0" fontId="8" fillId="5" borderId="18" xfId="0" applyFont="1" applyFill="1" applyBorder="1" applyAlignment="1">
      <alignment vertical="center" wrapText="1"/>
    </xf>
    <xf numFmtId="0" fontId="8" fillId="5" borderId="20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8" fillId="5" borderId="28" xfId="0" applyFont="1" applyFill="1" applyBorder="1" applyAlignment="1">
      <alignment vertical="center" wrapText="1"/>
    </xf>
    <xf numFmtId="2" fontId="0" fillId="0" borderId="0" xfId="0" applyNumberFormat="1"/>
    <xf numFmtId="0" fontId="0" fillId="0" borderId="26" xfId="0" applyBorder="1" applyAlignment="1">
      <alignment horizontal="left"/>
    </xf>
    <xf numFmtId="0" fontId="0" fillId="0" borderId="31" xfId="0" applyBorder="1"/>
    <xf numFmtId="0" fontId="0" fillId="0" borderId="27" xfId="0" applyBorder="1" applyAlignment="1">
      <alignment horizontal="left"/>
    </xf>
    <xf numFmtId="2" fontId="0" fillId="0" borderId="32" xfId="0" applyNumberFormat="1" applyBorder="1"/>
    <xf numFmtId="0" fontId="2" fillId="16" borderId="0" xfId="0" applyFont="1" applyFill="1"/>
    <xf numFmtId="0" fontId="14" fillId="0" borderId="0" xfId="0" applyFont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164" fontId="15" fillId="0" borderId="0" xfId="0" applyNumberFormat="1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41" xfId="0" applyFont="1" applyBorder="1" applyAlignment="1">
      <alignment horizontal="center"/>
    </xf>
    <xf numFmtId="165" fontId="2" fillId="0" borderId="0" xfId="0" applyNumberFormat="1" applyFont="1" applyAlignment="1">
      <alignment vertical="center" wrapText="1"/>
    </xf>
    <xf numFmtId="0" fontId="1" fillId="0" borderId="40" xfId="0" applyFont="1" applyBorder="1"/>
    <xf numFmtId="0" fontId="4" fillId="0" borderId="42" xfId="0" applyFont="1" applyBorder="1" applyAlignment="1">
      <alignment horizontal="left" vertical="center" indent="1"/>
    </xf>
    <xf numFmtId="9" fontId="0" fillId="0" borderId="43" xfId="1" applyFont="1" applyFill="1" applyBorder="1"/>
    <xf numFmtId="9" fontId="0" fillId="0" borderId="44" xfId="1" applyFont="1" applyFill="1" applyBorder="1"/>
    <xf numFmtId="0" fontId="0" fillId="0" borderId="43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0" xfId="0" applyAlignment="1">
      <alignment horizontal="center" vertical="center" wrapText="1"/>
    </xf>
    <xf numFmtId="9" fontId="0" fillId="0" borderId="0" xfId="1" applyFont="1" applyFill="1" applyBorder="1"/>
    <xf numFmtId="2" fontId="0" fillId="0" borderId="0" xfId="1" applyNumberFormat="1" applyFont="1" applyFill="1" applyBorder="1"/>
    <xf numFmtId="9" fontId="0" fillId="0" borderId="0" xfId="1" applyFont="1" applyBorder="1"/>
    <xf numFmtId="2" fontId="0" fillId="0" borderId="0" xfId="1" applyNumberFormat="1" applyFont="1" applyBorder="1"/>
    <xf numFmtId="0" fontId="4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2" fontId="9" fillId="9" borderId="14" xfId="0" applyNumberFormat="1" applyFont="1" applyFill="1" applyBorder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9" fillId="14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15" fillId="0" borderId="0" xfId="0" applyFont="1"/>
    <xf numFmtId="0" fontId="11" fillId="8" borderId="38" xfId="0" applyFont="1" applyFill="1" applyBorder="1" applyAlignment="1">
      <alignment horizontal="left" vertical="center" wrapText="1"/>
    </xf>
    <xf numFmtId="0" fontId="0" fillId="0" borderId="26" xfId="0" applyBorder="1"/>
    <xf numFmtId="0" fontId="0" fillId="0" borderId="30" xfId="0" applyBorder="1"/>
    <xf numFmtId="0" fontId="0" fillId="0" borderId="27" xfId="0" applyBorder="1"/>
    <xf numFmtId="0" fontId="0" fillId="0" borderId="32" xfId="0" applyBorder="1"/>
    <xf numFmtId="0" fontId="0" fillId="0" borderId="34" xfId="0" applyBorder="1" applyAlignment="1">
      <alignment horizontal="left"/>
    </xf>
    <xf numFmtId="2" fontId="2" fillId="0" borderId="34" xfId="0" applyNumberFormat="1" applyFont="1" applyBorder="1"/>
    <xf numFmtId="2" fontId="2" fillId="0" borderId="35" xfId="0" applyNumberFormat="1" applyFont="1" applyBorder="1"/>
    <xf numFmtId="2" fontId="2" fillId="0" borderId="36" xfId="0" applyNumberFormat="1" applyFont="1" applyBorder="1"/>
    <xf numFmtId="0" fontId="11" fillId="13" borderId="26" xfId="0" applyFont="1" applyFill="1" applyBorder="1" applyAlignment="1">
      <alignment horizontal="left" vertical="center" wrapText="1"/>
    </xf>
    <xf numFmtId="0" fontId="11" fillId="13" borderId="30" xfId="0" applyFont="1" applyFill="1" applyBorder="1" applyAlignment="1">
      <alignment horizontal="left" vertical="center" wrapText="1"/>
    </xf>
    <xf numFmtId="0" fontId="2" fillId="0" borderId="34" xfId="0" applyFont="1" applyBorder="1" applyAlignment="1">
      <alignment horizontal="left"/>
    </xf>
    <xf numFmtId="2" fontId="15" fillId="0" borderId="0" xfId="0" applyNumberFormat="1" applyFont="1"/>
    <xf numFmtId="2" fontId="0" fillId="0" borderId="31" xfId="0" applyNumberFormat="1" applyBorder="1"/>
    <xf numFmtId="2" fontId="0" fillId="0" borderId="33" xfId="0" applyNumberFormat="1" applyBorder="1"/>
    <xf numFmtId="0" fontId="11" fillId="16" borderId="26" xfId="0" applyFont="1" applyFill="1" applyBorder="1" applyAlignment="1">
      <alignment vertical="center" wrapText="1"/>
    </xf>
    <xf numFmtId="0" fontId="11" fillId="16" borderId="30" xfId="0" applyFont="1" applyFill="1" applyBorder="1" applyAlignment="1">
      <alignment vertical="center" wrapText="1"/>
    </xf>
    <xf numFmtId="0" fontId="0" fillId="0" borderId="31" xfId="0" applyBorder="1" applyAlignment="1">
      <alignment vertical="center"/>
    </xf>
    <xf numFmtId="2" fontId="11" fillId="0" borderId="45" xfId="0" applyNumberFormat="1" applyFont="1" applyBorder="1"/>
    <xf numFmtId="0" fontId="17" fillId="0" borderId="46" xfId="0" applyFont="1" applyBorder="1" applyAlignment="1">
      <alignment horizontal="left"/>
    </xf>
    <xf numFmtId="2" fontId="17" fillId="0" borderId="47" xfId="0" applyNumberFormat="1" applyFont="1" applyBorder="1"/>
    <xf numFmtId="0" fontId="17" fillId="0" borderId="46" xfId="0" applyFont="1" applyBorder="1" applyAlignment="1">
      <alignment horizontal="left" wrapText="1"/>
    </xf>
    <xf numFmtId="0" fontId="3" fillId="20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left" vertical="center" wrapText="1"/>
    </xf>
    <xf numFmtId="2" fontId="11" fillId="0" borderId="48" xfId="0" applyNumberFormat="1" applyFont="1" applyBorder="1"/>
    <xf numFmtId="2" fontId="11" fillId="0" borderId="0" xfId="0" applyNumberFormat="1" applyFont="1"/>
    <xf numFmtId="2" fontId="2" fillId="0" borderId="0" xfId="0" applyNumberFormat="1" applyFont="1"/>
    <xf numFmtId="0" fontId="8" fillId="5" borderId="0" xfId="0" applyFont="1" applyFill="1" applyAlignment="1">
      <alignment vertical="center" wrapText="1"/>
    </xf>
    <xf numFmtId="0" fontId="8" fillId="19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3" fillId="20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12" fillId="17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12" fillId="7" borderId="37" xfId="0" applyFont="1" applyFill="1" applyBorder="1" applyAlignment="1">
      <alignment horizontal="center" vertical="center"/>
    </xf>
    <xf numFmtId="0" fontId="13" fillId="7" borderId="37" xfId="0" applyFont="1" applyFill="1" applyBorder="1" applyAlignment="1">
      <alignment horizontal="center" vertical="center"/>
    </xf>
    <xf numFmtId="0" fontId="2" fillId="8" borderId="29" xfId="0" applyFont="1" applyFill="1" applyBorder="1" applyAlignment="1">
      <alignment horizontal="center"/>
    </xf>
    <xf numFmtId="0" fontId="12" fillId="15" borderId="0" xfId="0" applyFont="1" applyFill="1" applyAlignment="1">
      <alignment horizontal="center"/>
    </xf>
    <xf numFmtId="0" fontId="14" fillId="15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7" fillId="4" borderId="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6" fillId="13" borderId="0" xfId="0" applyFont="1" applyFill="1" applyAlignment="1">
      <alignment horizontal="center"/>
    </xf>
    <xf numFmtId="9" fontId="0" fillId="0" borderId="0" xfId="1" applyFont="1"/>
    <xf numFmtId="2" fontId="15" fillId="0" borderId="47" xfId="0" applyNumberFormat="1" applyFont="1" applyBorder="1"/>
    <xf numFmtId="2" fontId="0" fillId="0" borderId="30" xfId="0" applyNumberFormat="1" applyBorder="1"/>
    <xf numFmtId="2" fontId="0" fillId="0" borderId="0" xfId="0" applyNumberFormat="1" applyBorder="1"/>
    <xf numFmtId="0" fontId="8" fillId="6" borderId="51" xfId="0" applyFont="1" applyFill="1" applyBorder="1"/>
    <xf numFmtId="0" fontId="0" fillId="0" borderId="0" xfId="0" applyBorder="1"/>
    <xf numFmtId="0" fontId="0" fillId="0" borderId="0" xfId="0" applyBorder="1" applyAlignment="1">
      <alignment horizontal="left" vertical="center" wrapText="1"/>
    </xf>
    <xf numFmtId="2" fontId="2" fillId="0" borderId="0" xfId="0" applyNumberFormat="1" applyFont="1" applyBorder="1"/>
    <xf numFmtId="0" fontId="1" fillId="18" borderId="42" xfId="0" applyFont="1" applyFill="1" applyBorder="1"/>
    <xf numFmtId="0" fontId="1" fillId="18" borderId="43" xfId="0" applyFont="1" applyFill="1" applyBorder="1"/>
    <xf numFmtId="9" fontId="1" fillId="18" borderId="43" xfId="1" applyFont="1" applyFill="1" applyBorder="1"/>
    <xf numFmtId="9" fontId="1" fillId="18" borderId="49" xfId="1" applyFont="1" applyFill="1" applyBorder="1"/>
    <xf numFmtId="0" fontId="1" fillId="18" borderId="50" xfId="0" applyFont="1" applyFill="1" applyBorder="1"/>
  </cellXfs>
  <cellStyles count="2">
    <cellStyle name="Normal" xfId="0" builtinId="0"/>
    <cellStyle name="Percent" xfId="1" builtinId="5"/>
  </cellStyles>
  <dxfs count="141"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8FEAC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>
          <bgColor rgb="FFF8FEAC"/>
        </patternFill>
      </fill>
    </dxf>
    <dxf>
      <font>
        <color theme="1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>
          <bgColor rgb="FFF8FEAC"/>
        </patternFill>
      </fill>
    </dxf>
    <dxf>
      <font>
        <color theme="1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14996795556505021"/>
      </font>
      <fill>
        <patternFill>
          <bgColor rgb="FFFFC7CE"/>
        </patternFill>
      </fill>
    </dxf>
    <dxf>
      <font>
        <color theme="1"/>
      </font>
      <fill>
        <patternFill>
          <bgColor rgb="FFF8FEAC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 tint="0.14996795556505021"/>
      </font>
      <fill>
        <patternFill>
          <bgColor rgb="FFFFC7CE"/>
        </patternFill>
      </fill>
    </dxf>
    <dxf>
      <font>
        <color theme="1"/>
      </font>
      <fill>
        <patternFill>
          <fgColor auto="1"/>
          <bgColor rgb="FFF8FEAC"/>
        </patternFill>
      </fill>
    </dxf>
    <dxf>
      <font>
        <color theme="1"/>
      </font>
      <fill>
        <patternFill>
          <bgColor rgb="FFF8FEA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rgb="FFC6EFCE"/>
        </patternFill>
      </fill>
    </dxf>
    <dxf>
      <font>
        <color theme="1"/>
      </font>
      <fill>
        <patternFill>
          <bgColor rgb="FFF8FEA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rgb="FFC6EFCE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 tint="0.14996795556505021"/>
      </font>
      <fill>
        <patternFill>
          <bgColor rgb="FFFFC7CE"/>
        </patternFill>
      </fill>
    </dxf>
    <dxf>
      <font>
        <color theme="1"/>
      </font>
      <fill>
        <patternFill>
          <fgColor auto="1"/>
          <bgColor rgb="FFF8FEAC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>
          <bgColor rgb="FFF8FEAC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8FEAC"/>
        </patternFill>
      </fill>
    </dxf>
    <dxf>
      <font>
        <color theme="1" tint="4.9989318521683403E-2"/>
      </font>
      <fill>
        <patternFill>
          <bgColor rgb="FFC6EFCE"/>
        </patternFill>
      </fill>
    </dxf>
    <dxf>
      <font>
        <b/>
        <i val="0"/>
        <color theme="1" tint="4.9989318521683403E-2"/>
      </font>
      <fill>
        <patternFill>
          <bgColor theme="5" tint="0.59996337778862885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8FEAC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>
          <bgColor rgb="FFF8FEAC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8FEAC"/>
        </patternFill>
      </fill>
    </dxf>
    <dxf>
      <font>
        <color theme="1" tint="4.9989318521683403E-2"/>
      </font>
      <fill>
        <patternFill>
          <bgColor rgb="FFC6EFCE"/>
        </patternFill>
      </fill>
    </dxf>
    <dxf>
      <font>
        <b/>
        <i val="0"/>
        <color theme="1" tint="4.9989318521683403E-2"/>
      </font>
      <fill>
        <patternFill>
          <bgColor theme="5" tint="0.59996337778862885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8FEAC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</font>
    </dxf>
    <dxf>
      <font>
        <b val="0"/>
      </font>
    </dxf>
    <dxf>
      <font>
        <color theme="1" tint="4.9989318521683403E-2"/>
      </font>
    </dxf>
    <dxf>
      <font>
        <b/>
      </font>
    </dxf>
    <dxf>
      <font>
        <b val="0"/>
      </font>
    </dxf>
    <dxf>
      <alignment horizontal="center"/>
    </dxf>
    <dxf>
      <alignment vertical="center"/>
    </dxf>
    <dxf>
      <alignment vertical="center"/>
    </dxf>
    <dxf>
      <alignment horizontal="left"/>
    </dxf>
    <dxf>
      <fill>
        <patternFill patternType="solid">
          <fgColor indexed="64"/>
          <bgColor rgb="FFD1FCC0"/>
        </patternFill>
      </fill>
    </dxf>
    <dxf>
      <fill>
        <patternFill>
          <bgColor rgb="FFD1FCC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none">
          <bgColor auto="1"/>
        </patternFill>
      </fill>
    </dxf>
    <dxf>
      <alignment wrapText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font>
        <b/>
      </font>
    </dxf>
    <dxf>
      <font>
        <b/>
      </font>
    </dxf>
    <dxf>
      <alignment vertical="center"/>
    </dxf>
    <dxf>
      <alignment vertical="center"/>
    </dxf>
    <dxf>
      <alignment horizontal="left"/>
    </dxf>
    <dxf>
      <alignment horizontal="left"/>
    </dxf>
    <dxf>
      <numFmt numFmtId="2" formatCode="0.00"/>
    </dxf>
    <dxf>
      <numFmt numFmtId="2" formatCode="0.00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general"/>
    </dxf>
    <dxf>
      <alignment horizontal="general"/>
    </dxf>
    <dxf>
      <fill>
        <patternFill>
          <bgColor theme="3" tint="0.749992370372631"/>
        </patternFill>
      </fill>
    </dxf>
    <dxf>
      <fill>
        <patternFill>
          <bgColor theme="3" tint="0.749992370372631"/>
        </patternFill>
      </fill>
    </dxf>
    <dxf>
      <font>
        <b/>
      </font>
    </dxf>
    <dxf>
      <alignment vertical="center"/>
    </dxf>
    <dxf>
      <alignment vertical="center"/>
    </dxf>
    <dxf>
      <alignment horizontal="left"/>
    </dxf>
    <dxf>
      <alignment horizontal="left"/>
    </dxf>
    <dxf>
      <font>
        <b/>
      </font>
    </dxf>
    <dxf>
      <fill>
        <patternFill>
          <bgColor theme="3" tint="0.749992370372631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ont>
        <sz val="10"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</dxf>
    <dxf>
      <numFmt numFmtId="2" formatCode="0.00"/>
    </dxf>
    <dxf>
      <alignment horizontal="left"/>
    </dxf>
    <dxf>
      <alignment vertical="center"/>
    </dxf>
    <dxf>
      <alignment vertical="center"/>
    </dxf>
    <dxf>
      <alignment horizontal="left"/>
    </dxf>
    <dxf>
      <font>
        <sz val="10"/>
      </font>
    </dxf>
    <dxf>
      <font>
        <sz val="10"/>
      </font>
    </dxf>
    <dxf>
      <alignment wrapText="1"/>
    </dxf>
    <dxf>
      <alignment wrapText="1"/>
    </dxf>
    <dxf>
      <fill>
        <patternFill patternType="none">
          <fgColor indexed="64"/>
          <bgColor indexed="65"/>
        </patternFill>
      </fill>
      <border diagonalUp="0" diagonalDown="0">
        <left style="thin">
          <color theme="2" tint="-9.9978637043366805E-2"/>
        </left>
        <right/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/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border outline="0">
        <right style="thin">
          <color theme="2" tint="-9.9978637043366805E-2"/>
        </right>
        <top style="thin">
          <color theme="4" tint="0.39997558519241921"/>
        </top>
        <bottom style="thin">
          <color theme="2" tint="-9.9978637043366805E-2"/>
        </bottom>
      </border>
    </dxf>
    <dxf>
      <border diagonalUp="0" diagonalDown="0">
        <left style="thin">
          <color theme="2" tint="-9.9978637043366805E-2"/>
        </left>
        <right style="thin">
          <color theme="2" tint="-9.9978637043366805E-2"/>
        </right>
        <top/>
        <bottom/>
        <vertical style="thin">
          <color theme="2" tint="-9.9978637043366805E-2"/>
        </vertical>
        <horizontal style="thin">
          <color theme="2" tint="-9.9978637043366805E-2"/>
        </horizontal>
      </border>
    </dxf>
  </dxfs>
  <tableStyles count="0" defaultTableStyle="TableStyleMedium2" defaultPivotStyle="PivotStyleLight16"/>
  <colors>
    <mruColors>
      <color rgb="FFFFFFFF"/>
      <color rgb="FFF5FCC4"/>
      <color rgb="FFF9FDAD"/>
      <color rgb="FFF7FC92"/>
      <color rgb="FFDDF7E0"/>
      <color rgb="FF63D378"/>
      <color rgb="FFF8FEAC"/>
      <color rgb="FFB6F4A2"/>
      <color rgb="FFFFEB9C"/>
      <color rgb="FFF7CE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[esg2.xlsx]aNALYSIS!PivotTable10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250669045495096E-2"/>
          <c:y val="0.11166143519521435"/>
          <c:w val="0.96074933095450488"/>
          <c:h val="0.686712533911355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aNALYSIS!$U$14</c:f>
              <c:strCache>
                <c:ptCount val="1"/>
                <c:pt idx="0">
                  <c:v> ENVIRONMENT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aNALYSIS!$T$15:$T$21</c:f>
              <c:strCache>
                <c:ptCount val="6"/>
                <c:pt idx="0">
                  <c:v>Automobile and Auto Components</c:v>
                </c:pt>
                <c:pt idx="1">
                  <c:v>Construction &amp; Materials</c:v>
                </c:pt>
                <c:pt idx="2">
                  <c:v>Financial Services</c:v>
                </c:pt>
                <c:pt idx="3">
                  <c:v>Healthcare</c:v>
                </c:pt>
                <c:pt idx="4">
                  <c:v>Information Technology</c:v>
                </c:pt>
                <c:pt idx="5">
                  <c:v>Metals &amp; Mining</c:v>
                </c:pt>
              </c:strCache>
            </c:strRef>
          </c:cat>
          <c:val>
            <c:numRef>
              <c:f>aNALYSIS!$U$15:$U$21</c:f>
              <c:numCache>
                <c:formatCode>0.00</c:formatCode>
                <c:ptCount val="6"/>
                <c:pt idx="0">
                  <c:v>2.7257575757575756</c:v>
                </c:pt>
                <c:pt idx="1">
                  <c:v>2.7222222222222228</c:v>
                </c:pt>
                <c:pt idx="2">
                  <c:v>2.583333333333333</c:v>
                </c:pt>
                <c:pt idx="3">
                  <c:v>2.7333333333333334</c:v>
                </c:pt>
                <c:pt idx="4">
                  <c:v>2.8833333333333333</c:v>
                </c:pt>
                <c:pt idx="5">
                  <c:v>2.7916666666666665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7-40FD-8DC0-9F7501A8B7D3}"/>
            </c:ext>
          </c:extLst>
        </c:ser>
        <c:ser>
          <c:idx val="1"/>
          <c:order val="1"/>
          <c:tx>
            <c:strRef>
              <c:f>aNALYSIS!$V$14</c:f>
              <c:strCache>
                <c:ptCount val="1"/>
                <c:pt idx="0">
                  <c:v> SOCIAL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aNALYSIS!$T$15:$T$21</c:f>
              <c:strCache>
                <c:ptCount val="6"/>
                <c:pt idx="0">
                  <c:v>Automobile and Auto Components</c:v>
                </c:pt>
                <c:pt idx="1">
                  <c:v>Construction &amp; Materials</c:v>
                </c:pt>
                <c:pt idx="2">
                  <c:v>Financial Services</c:v>
                </c:pt>
                <c:pt idx="3">
                  <c:v>Healthcare</c:v>
                </c:pt>
                <c:pt idx="4">
                  <c:v>Information Technology</c:v>
                </c:pt>
                <c:pt idx="5">
                  <c:v>Metals &amp; Mining</c:v>
                </c:pt>
              </c:strCache>
            </c:strRef>
          </c:cat>
          <c:val>
            <c:numRef>
              <c:f>aNALYSIS!$V$15:$V$21</c:f>
              <c:numCache>
                <c:formatCode>0.00</c:formatCode>
                <c:ptCount val="6"/>
                <c:pt idx="0">
                  <c:v>1.9555555555555557</c:v>
                </c:pt>
                <c:pt idx="1">
                  <c:v>1.8518518518518519</c:v>
                </c:pt>
                <c:pt idx="2">
                  <c:v>2.0095238095238095</c:v>
                </c:pt>
                <c:pt idx="3">
                  <c:v>2.1555555555555559</c:v>
                </c:pt>
                <c:pt idx="4">
                  <c:v>2.2666666666666666</c:v>
                </c:pt>
                <c:pt idx="5">
                  <c:v>2.1666666666666665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B7-40FD-8DC0-9F7501A8B7D3}"/>
            </c:ext>
          </c:extLst>
        </c:ser>
        <c:ser>
          <c:idx val="2"/>
          <c:order val="2"/>
          <c:tx>
            <c:strRef>
              <c:f>aNALYSIS!$W$14</c:f>
              <c:strCache>
                <c:ptCount val="1"/>
                <c:pt idx="0">
                  <c:v> GOVERNANCE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aNALYSIS!$T$15:$T$21</c:f>
              <c:strCache>
                <c:ptCount val="6"/>
                <c:pt idx="0">
                  <c:v>Automobile and Auto Components</c:v>
                </c:pt>
                <c:pt idx="1">
                  <c:v>Construction &amp; Materials</c:v>
                </c:pt>
                <c:pt idx="2">
                  <c:v>Financial Services</c:v>
                </c:pt>
                <c:pt idx="3">
                  <c:v>Healthcare</c:v>
                </c:pt>
                <c:pt idx="4">
                  <c:v>Information Technology</c:v>
                </c:pt>
                <c:pt idx="5">
                  <c:v>Metals &amp; Mining</c:v>
                </c:pt>
              </c:strCache>
            </c:strRef>
          </c:cat>
          <c:val>
            <c:numRef>
              <c:f>aNALYSIS!$W$15:$W$21</c:f>
              <c:numCache>
                <c:formatCode>0.00</c:formatCode>
                <c:ptCount val="6"/>
                <c:pt idx="0">
                  <c:v>1.7428571428571431</c:v>
                </c:pt>
                <c:pt idx="1">
                  <c:v>1.6666666666666667</c:v>
                </c:pt>
                <c:pt idx="2">
                  <c:v>2</c:v>
                </c:pt>
                <c:pt idx="3">
                  <c:v>2.1428571428571432</c:v>
                </c:pt>
                <c:pt idx="4">
                  <c:v>1.8285714285714287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B7-40FD-8DC0-9F7501A8B7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53097535"/>
        <c:axId val="2064770671"/>
      </c:barChart>
      <c:catAx>
        <c:axId val="2053097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770671"/>
        <c:crosses val="autoZero"/>
        <c:auto val="1"/>
        <c:lblAlgn val="ctr"/>
        <c:lblOffset val="100"/>
        <c:noMultiLvlLbl val="0"/>
      </c:catAx>
      <c:valAx>
        <c:axId val="2064770671"/>
        <c:scaling>
          <c:orientation val="minMax"/>
          <c:max val="3"/>
          <c:min val="1.5"/>
        </c:scaling>
        <c:delete val="1"/>
        <c:axPos val="r"/>
        <c:numFmt formatCode="0.00" sourceLinked="1"/>
        <c:majorTickMark val="out"/>
        <c:minorTickMark val="none"/>
        <c:tickLblPos val="nextTo"/>
        <c:crossAx val="2053097535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2.6696253460774251E-3"/>
          <c:w val="0.91904731165039066"/>
          <c:h val="9.44283379671880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/>
              <a:t>Industry BRSR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252187226596672E-2"/>
          <c:y val="0.17171296296296296"/>
          <c:w val="0.88450459317585306"/>
          <c:h val="0.619544692330125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'Analsysi 2'!$K$3:$K$8</c:f>
              <c:strCache>
                <c:ptCount val="6"/>
                <c:pt idx="0">
                  <c:v>Automobile and Auto Components</c:v>
                </c:pt>
                <c:pt idx="1">
                  <c:v>Construction &amp; Materials</c:v>
                </c:pt>
                <c:pt idx="2">
                  <c:v>Financial Services</c:v>
                </c:pt>
                <c:pt idx="3">
                  <c:v>Healthcare</c:v>
                </c:pt>
                <c:pt idx="4">
                  <c:v>Information Technology</c:v>
                </c:pt>
                <c:pt idx="5">
                  <c:v>Metals &amp; Mining</c:v>
                </c:pt>
              </c:strCache>
            </c:strRef>
          </c:cat>
          <c:val>
            <c:numRef>
              <c:f>'Analsysi 2'!$L$3:$L$8</c:f>
              <c:numCache>
                <c:formatCode>0.00</c:formatCode>
                <c:ptCount val="6"/>
                <c:pt idx="0">
                  <c:v>2.1413900913900914</c:v>
                </c:pt>
                <c:pt idx="1">
                  <c:v>2.0802469135802473</c:v>
                </c:pt>
                <c:pt idx="2">
                  <c:v>2.1976190476190474</c:v>
                </c:pt>
                <c:pt idx="3">
                  <c:v>2.3439153439153442</c:v>
                </c:pt>
                <c:pt idx="4">
                  <c:v>2.3261904761904764</c:v>
                </c:pt>
                <c:pt idx="5">
                  <c:v>2.3194444444444442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5-41D9-80CC-F0A2D0F437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9727232"/>
        <c:axId val="1354697200"/>
      </c:barChart>
      <c:catAx>
        <c:axId val="148972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54697200"/>
        <c:crosses val="autoZero"/>
        <c:auto val="1"/>
        <c:lblAlgn val="ctr"/>
        <c:lblOffset val="100"/>
        <c:noMultiLvlLbl val="0"/>
      </c:catAx>
      <c:valAx>
        <c:axId val="1354697200"/>
        <c:scaling>
          <c:orientation val="minMax"/>
          <c:max val="2.5"/>
          <c:min val="2"/>
        </c:scaling>
        <c:delete val="1"/>
        <c:axPos val="l"/>
        <c:numFmt formatCode="0.00" sourceLinked="1"/>
        <c:majorTickMark val="out"/>
        <c:minorTickMark val="none"/>
        <c:tickLblPos val="nextTo"/>
        <c:crossAx val="148972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221644</xdr:colOff>
      <xdr:row>0</xdr:row>
      <xdr:rowOff>174171</xdr:rowOff>
    </xdr:from>
    <xdr:to>
      <xdr:col>26</xdr:col>
      <xdr:colOff>100994</xdr:colOff>
      <xdr:row>21</xdr:row>
      <xdr:rowOff>94947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2848C5-3905-29BF-9C83-CD1640A19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1017270</xdr:colOff>
      <xdr:row>0</xdr:row>
      <xdr:rowOff>64770</xdr:rowOff>
    </xdr:from>
    <xdr:to>
      <xdr:col>13</xdr:col>
      <xdr:colOff>64770</xdr:colOff>
      <xdr:row>16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346BEA-480F-FBCD-87A1-384E81AF4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hwarya" refreshedDate="46220.996801504632" createdVersion="8" refreshedVersion="8" minRefreshableVersion="3" recordCount="27" xr:uid="{8DEA7921-2D25-4935-AE54-850885F55AFC}">
  <cacheSource type="worksheet">
    <worksheetSource ref="A2:O29" sheet="Environmnet"/>
  </cacheSource>
  <cacheFields count="15">
    <cacheField name="Industry" numFmtId="0">
      <sharedItems count="6">
        <s v="Financial Services"/>
        <s v="Information Technology"/>
        <s v="Healthcare"/>
        <s v="Automobile and Auto Components"/>
        <s v="Construction &amp; Materials"/>
        <s v="Metals &amp; Mining"/>
      </sharedItems>
    </cacheField>
    <cacheField name="Company" numFmtId="0">
      <sharedItems/>
    </cacheField>
    <cacheField name="Scope 1 GHG Emission" numFmtId="0">
      <sharedItems containsSemiMixedTypes="0" containsString="0" containsNumber="1" containsInteger="1" minValue="3" maxValue="3"/>
    </cacheField>
    <cacheField name="Scope 2 GHG Emission" numFmtId="0">
      <sharedItems containsSemiMixedTypes="0" containsString="0" containsNumber="1" containsInteger="1" minValue="3" maxValue="3"/>
    </cacheField>
    <cacheField name="Scope 3 GHG Emission" numFmtId="0">
      <sharedItems containsMixedTypes="1" containsNumber="1" containsInteger="1" minValue="0" maxValue="3"/>
    </cacheField>
    <cacheField name="Emission Intensity" numFmtId="0">
      <sharedItems containsSemiMixedTypes="0" containsString="0" containsNumber="1" containsInteger="1" minValue="3" maxValue="3"/>
    </cacheField>
    <cacheField name="Total Energy Consumption" numFmtId="0">
      <sharedItems containsSemiMixedTypes="0" containsString="0" containsNumber="1" containsInteger="1" minValue="3" maxValue="3"/>
    </cacheField>
    <cacheField name="Renewable Energy %" numFmtId="0">
      <sharedItems containsSemiMixedTypes="0" containsString="0" containsNumber="1" containsInteger="1" minValue="2" maxValue="3"/>
    </cacheField>
    <cacheField name="Water Withdrawal" numFmtId="0">
      <sharedItems containsSemiMixedTypes="0" containsString="0" containsNumber="1" containsInteger="1" minValue="3" maxValue="3"/>
    </cacheField>
    <cacheField name="Water Recycled (%)" numFmtId="0">
      <sharedItems containsSemiMixedTypes="0" containsString="0" containsNumber="1" containsInteger="1" minValue="0" maxValue="3"/>
    </cacheField>
    <cacheField name="Waste Generated" numFmtId="0">
      <sharedItems containsSemiMixedTypes="0" containsString="0" containsNumber="1" containsInteger="1" minValue="2" maxValue="3"/>
    </cacheField>
    <cacheField name="Waste Recycled (%)" numFmtId="0">
      <sharedItems containsSemiMixedTypes="0" containsString="0" containsNumber="1" containsInteger="1" minValue="2" maxValue="3"/>
    </cacheField>
    <cacheField name="Net Zero Target" numFmtId="0">
      <sharedItems containsSemiMixedTypes="0" containsString="0" containsNumber="1" containsInteger="1" minValue="0" maxValue="3"/>
    </cacheField>
    <cacheField name="External Assurance of Environmental Data" numFmtId="0">
      <sharedItems containsSemiMixedTypes="0" containsString="0" containsNumber="1" containsInteger="1" minValue="3" maxValue="3"/>
    </cacheField>
    <cacheField name="Average" numFmtId="2">
      <sharedItems containsSemiMixedTypes="0" containsString="0" containsNumber="1" minValue="2.25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hwarya" refreshedDate="46220.996886805558" createdVersion="8" refreshedVersion="8" minRefreshableVersion="3" recordCount="27" xr:uid="{C2D016C2-E662-47F7-B008-048E9481C49F}">
  <cacheSource type="worksheet">
    <worksheetSource ref="A2:L29" sheet="Social "/>
  </cacheSource>
  <cacheFields count="12">
    <cacheField name="Industry" numFmtId="0">
      <sharedItems count="6">
        <s v="Financial Services"/>
        <s v="Information Technology"/>
        <s v="Healthcare"/>
        <s v="Automobile and Auto Components"/>
        <s v="Construction &amp; Materials"/>
        <s v="Metals &amp; Mining"/>
      </sharedItems>
    </cacheField>
    <cacheField name="Company" numFmtId="0">
      <sharedItems/>
    </cacheField>
    <cacheField name="Women Employees (%)" numFmtId="0">
      <sharedItems containsSemiMixedTypes="0" containsString="0" containsNumber="1" containsInteger="1" minValue="2" maxValue="3"/>
    </cacheField>
    <cacheField name="Women On Board (%)" numFmtId="0">
      <sharedItems containsSemiMixedTypes="0" containsString="0" containsNumber="1" containsInteger="1" minValue="2" maxValue="3"/>
    </cacheField>
    <cacheField name="Employee Turnover" numFmtId="0">
      <sharedItems containsSemiMixedTypes="0" containsString="0" containsNumber="1" containsInteger="1" minValue="2" maxValue="3"/>
    </cacheField>
    <cacheField name="Average Training Hours (PP)" numFmtId="0">
      <sharedItems containsSemiMixedTypes="0" containsString="0" containsNumber="1" containsInteger="1" minValue="0" maxValue="3"/>
    </cacheField>
    <cacheField name="Lost Time Injury Frequency Rate (LTIFR)" numFmtId="0">
      <sharedItems containsMixedTypes="1" containsNumber="1" containsInteger="1" minValue="3" maxValue="3"/>
    </cacheField>
    <cacheField name="Fatalities" numFmtId="0">
      <sharedItems containsMixedTypes="1" containsNumber="1" containsInteger="1" minValue="0" maxValue="3"/>
    </cacheField>
    <cacheField name="Human Rights Policy" numFmtId="0">
      <sharedItems containsSemiMixedTypes="0" containsString="0" containsNumber="1" containsInteger="1" minValue="1" maxValue="3"/>
    </cacheField>
    <cacheField name="Supplier ESG Assessment" numFmtId="0">
      <sharedItems containsSemiMixedTypes="0" containsString="0" containsNumber="1" containsInteger="1" minValue="1" maxValue="3"/>
    </cacheField>
    <cacheField name="Community Investment / CSR" numFmtId="0">
      <sharedItems containsSemiMixedTypes="0" containsString="0" containsNumber="1" containsInteger="1" minValue="1" maxValue="3"/>
    </cacheField>
    <cacheField name="Average" numFmtId="2">
      <sharedItems containsSemiMixedTypes="0" containsString="0" containsNumber="1" minValue="1.7142857142857142" maxValue="2.55555555555555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hwarya" refreshedDate="46220.996967476851" createdVersion="8" refreshedVersion="8" minRefreshableVersion="3" recordCount="27" xr:uid="{39D7E01E-58D2-45E0-ABC4-FE7DC0EAFECA}">
  <cacheSource type="worksheet">
    <worksheetSource ref="A2:J29" sheet="Governance"/>
  </cacheSource>
  <cacheFields count="10">
    <cacheField name="Industry" numFmtId="0">
      <sharedItems count="6">
        <s v="Financial Services"/>
        <s v="Information Technology"/>
        <s v="Healthcare"/>
        <s v="Automobile and Auto Components"/>
        <s v="Construction &amp; Materials"/>
        <s v="Metals &amp; Mining"/>
      </sharedItems>
    </cacheField>
    <cacheField name="Company" numFmtId="0">
      <sharedItems/>
    </cacheField>
    <cacheField name="Independent Directors (%)" numFmtId="0">
      <sharedItems containsSemiMixedTypes="0" containsString="0" containsNumber="1" containsInteger="1" minValue="1" maxValue="3"/>
    </cacheField>
    <cacheField name="ESG Governance at Board Level" numFmtId="0">
      <sharedItems containsSemiMixedTypes="0" containsString="0" containsNumber="1" containsInteger="1" minValue="1" maxValue="3"/>
    </cacheField>
    <cacheField name="Anti-corruption policy" numFmtId="0">
      <sharedItems containsSemiMixedTypes="0" containsString="0" containsNumber="1" containsInteger="1" minValue="1" maxValue="3"/>
    </cacheField>
    <cacheField name="Whistleblower mechanism" numFmtId="0">
      <sharedItems containsSemiMixedTypes="0" containsString="0" containsNumber="1" containsInteger="1" minValue="1" maxValue="3"/>
    </cacheField>
    <cacheField name="Number of corruption cases" numFmtId="0">
      <sharedItems containsSemiMixedTypes="0" containsString="0" containsNumber="1" containsInteger="1" minValue="2" maxValue="3"/>
    </cacheField>
    <cacheField name="Data privacy &amp; cybersecurity governance" numFmtId="0">
      <sharedItems containsSemiMixedTypes="0" containsString="0" containsNumber="1" containsInteger="1" minValue="1" maxValue="3"/>
    </cacheField>
    <cacheField name="External ESG assurance" numFmtId="0">
      <sharedItems containsSemiMixedTypes="0" containsString="0" containsNumber="1" containsInteger="1" minValue="3" maxValue="3"/>
    </cacheField>
    <cacheField name="Average" numFmtId="2">
      <sharedItems containsSemiMixedTypes="0" containsString="0" containsNumber="1" minValue="1.5714285714285714" maxValue="2.7142857142857144"/>
    </cacheField>
  </cacheFields>
  <extLst>
    <ext xmlns:x14="http://schemas.microsoft.com/office/spreadsheetml/2009/9/main" uri="{725AE2AE-9491-48be-B2B4-4EB974FC3084}">
      <x14:pivotCacheDefinition pivotCacheId="1951936689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hwarya" refreshedDate="46221.015828819443" createdVersion="8" refreshedVersion="8" minRefreshableVersion="3" recordCount="6" xr:uid="{BE47D2AB-F182-4FC2-93C1-B1975CA4596E}">
  <cacheSource type="worksheet">
    <worksheetSource ref="S3:V9" sheet="aNALYSIS"/>
  </cacheSource>
  <cacheFields count="4">
    <cacheField name="Industry" numFmtId="0">
      <sharedItems count="6">
        <s v="Automobile and Auto Components"/>
        <s v="Construction &amp; Materials"/>
        <s v="Financial Services"/>
        <s v="Healthcare"/>
        <s v="Information Technology"/>
        <s v="Metals &amp; Mining"/>
      </sharedItems>
    </cacheField>
    <cacheField name="ENVIRONMENT" numFmtId="2">
      <sharedItems containsSemiMixedTypes="0" containsString="0" containsNumber="1" minValue="2.583333333333333" maxValue="2.8833333333333333"/>
    </cacheField>
    <cacheField name="SOCIAL" numFmtId="2">
      <sharedItems containsSemiMixedTypes="0" containsString="0" containsNumber="1" minValue="1.8518518518518519" maxValue="2.2666666666666666"/>
    </cacheField>
    <cacheField name="GOVERNANCE" numFmtId="2">
      <sharedItems containsSemiMixedTypes="0" containsString="0" containsNumber="1" minValue="1.6666666666666667" maxValue="2.14285714285714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Axis Bank "/>
    <n v="3"/>
    <n v="3"/>
    <n v="0"/>
    <n v="3"/>
    <n v="3"/>
    <n v="3"/>
    <n v="3"/>
    <n v="2"/>
    <n v="3"/>
    <n v="3"/>
    <n v="1"/>
    <n v="3"/>
    <n v="2.5"/>
  </r>
  <r>
    <x v="0"/>
    <s v="Bajaj FinServ "/>
    <n v="3"/>
    <n v="3"/>
    <n v="3"/>
    <n v="3"/>
    <n v="3"/>
    <n v="2"/>
    <n v="3"/>
    <n v="0"/>
    <n v="2"/>
    <n v="2"/>
    <n v="3"/>
    <n v="3"/>
    <n v="2.5"/>
  </r>
  <r>
    <x v="0"/>
    <s v="HDFC Bank "/>
    <n v="3"/>
    <n v="3"/>
    <n v="3"/>
    <n v="3"/>
    <n v="3"/>
    <n v="3"/>
    <n v="3"/>
    <n v="0"/>
    <n v="3"/>
    <n v="2"/>
    <n v="3"/>
    <n v="3"/>
    <n v="2.6666666666666665"/>
  </r>
  <r>
    <x v="0"/>
    <s v="ICICI Bank"/>
    <n v="3"/>
    <n v="3"/>
    <n v="3"/>
    <n v="3"/>
    <n v="3"/>
    <n v="3"/>
    <n v="3"/>
    <n v="0"/>
    <n v="3"/>
    <n v="3"/>
    <n v="0"/>
    <n v="3"/>
    <n v="2.5"/>
  </r>
  <r>
    <x v="0"/>
    <s v="State Bank of India"/>
    <n v="3"/>
    <n v="3"/>
    <n v="3"/>
    <n v="3"/>
    <n v="3"/>
    <n v="3"/>
    <n v="3"/>
    <n v="0"/>
    <n v="3"/>
    <n v="3"/>
    <n v="3"/>
    <n v="3"/>
    <n v="2.75"/>
  </r>
  <r>
    <x v="1"/>
    <s v="HCL Technologies "/>
    <n v="3"/>
    <n v="3"/>
    <n v="3"/>
    <n v="3"/>
    <n v="3"/>
    <n v="3"/>
    <n v="3"/>
    <n v="3"/>
    <n v="3"/>
    <n v="3"/>
    <n v="3"/>
    <n v="3"/>
    <n v="3"/>
  </r>
  <r>
    <x v="1"/>
    <s v="Infosys"/>
    <n v="3"/>
    <n v="3"/>
    <n v="3"/>
    <n v="3"/>
    <n v="3"/>
    <n v="3"/>
    <n v="3"/>
    <n v="0"/>
    <n v="3"/>
    <n v="3"/>
    <n v="3"/>
    <n v="3"/>
    <n v="2.75"/>
  </r>
  <r>
    <x v="1"/>
    <s v="Tata Consultancy Services "/>
    <n v="3"/>
    <n v="3"/>
    <n v="3"/>
    <n v="3"/>
    <n v="3"/>
    <n v="3"/>
    <n v="3"/>
    <n v="3"/>
    <n v="3"/>
    <n v="3"/>
    <n v="3"/>
    <n v="3"/>
    <n v="3"/>
  </r>
  <r>
    <x v="1"/>
    <s v="Tech Mahindra"/>
    <n v="3"/>
    <n v="3"/>
    <n v="3"/>
    <n v="3"/>
    <n v="3"/>
    <n v="3"/>
    <n v="3"/>
    <n v="2"/>
    <n v="3"/>
    <n v="3"/>
    <n v="3"/>
    <n v="3"/>
    <n v="2.9166666666666665"/>
  </r>
  <r>
    <x v="1"/>
    <s v="Wipro"/>
    <n v="3"/>
    <n v="3"/>
    <n v="0"/>
    <n v="3"/>
    <n v="3"/>
    <n v="3"/>
    <n v="3"/>
    <n v="3"/>
    <n v="3"/>
    <n v="3"/>
    <n v="3"/>
    <n v="3"/>
    <n v="2.75"/>
  </r>
  <r>
    <x v="2"/>
    <s v="Apollo Hospitals Enterprise "/>
    <n v="3"/>
    <n v="3"/>
    <n v="0"/>
    <n v="3"/>
    <n v="3"/>
    <n v="3"/>
    <n v="3"/>
    <n v="0"/>
    <n v="3"/>
    <n v="3"/>
    <n v="0"/>
    <n v="3"/>
    <n v="2.25"/>
  </r>
  <r>
    <x v="2"/>
    <s v="Cipla "/>
    <n v="3"/>
    <n v="3"/>
    <n v="3"/>
    <n v="3"/>
    <n v="3"/>
    <n v="3"/>
    <n v="3"/>
    <n v="3"/>
    <n v="3"/>
    <n v="3"/>
    <n v="3"/>
    <n v="3"/>
    <n v="3"/>
  </r>
  <r>
    <x v="2"/>
    <s v="Dr. Reddy's Laboratories "/>
    <n v="3"/>
    <n v="3"/>
    <n v="3"/>
    <n v="3"/>
    <n v="3"/>
    <n v="3"/>
    <n v="3"/>
    <n v="3"/>
    <n v="3"/>
    <n v="3"/>
    <n v="3"/>
    <n v="3"/>
    <n v="3"/>
  </r>
  <r>
    <x v="2"/>
    <s v="Max Healthcare Institute "/>
    <n v="3"/>
    <n v="3"/>
    <n v="1"/>
    <n v="3"/>
    <n v="3"/>
    <n v="3"/>
    <n v="3"/>
    <n v="3"/>
    <n v="3"/>
    <n v="3"/>
    <n v="2"/>
    <n v="3"/>
    <n v="2.75"/>
  </r>
  <r>
    <x v="2"/>
    <s v="Sun Pharmaceutical Industries "/>
    <n v="3"/>
    <n v="3"/>
    <n v="3"/>
    <n v="3"/>
    <n v="3"/>
    <n v="3"/>
    <n v="3"/>
    <n v="0"/>
    <n v="3"/>
    <n v="3"/>
    <n v="2"/>
    <n v="3"/>
    <n v="2.6666666666666665"/>
  </r>
  <r>
    <x v="3"/>
    <s v="Bajaj Auto "/>
    <n v="3"/>
    <n v="3"/>
    <n v="0"/>
    <n v="3"/>
    <n v="3"/>
    <n v="3"/>
    <n v="3"/>
    <n v="1"/>
    <n v="3"/>
    <n v="3"/>
    <n v="2"/>
    <n v="3"/>
    <n v="2.5"/>
  </r>
  <r>
    <x v="3"/>
    <s v="Eicher Motors "/>
    <n v="3"/>
    <n v="3"/>
    <s v="NA"/>
    <n v="3"/>
    <n v="3"/>
    <n v="3"/>
    <n v="3"/>
    <n v="1"/>
    <n v="3"/>
    <n v="2"/>
    <n v="1"/>
    <n v="3"/>
    <n v="2.5454545454545454"/>
  </r>
  <r>
    <x v="3"/>
    <s v="Mahindra &amp; Mahindra "/>
    <n v="3"/>
    <n v="3"/>
    <n v="3"/>
    <n v="3"/>
    <n v="3"/>
    <n v="3"/>
    <n v="3"/>
    <n v="2"/>
    <n v="3"/>
    <n v="3"/>
    <n v="3"/>
    <n v="3"/>
    <n v="2.9166666666666665"/>
  </r>
  <r>
    <x v="3"/>
    <s v="Maruti Suzuki"/>
    <n v="3"/>
    <n v="3"/>
    <n v="3"/>
    <n v="3"/>
    <n v="3"/>
    <n v="3"/>
    <n v="3"/>
    <n v="1"/>
    <n v="3"/>
    <n v="3"/>
    <n v="3"/>
    <n v="3"/>
    <n v="2.8333333333333335"/>
  </r>
  <r>
    <x v="3"/>
    <s v="Tata Motors Passenger Vehicles "/>
    <n v="3"/>
    <n v="3"/>
    <n v="3"/>
    <n v="3"/>
    <n v="3"/>
    <n v="3"/>
    <n v="3"/>
    <n v="1"/>
    <n v="3"/>
    <n v="3"/>
    <n v="3"/>
    <n v="3"/>
    <n v="2.8333333333333335"/>
  </r>
  <r>
    <x v="4"/>
    <s v="Larsen &amp; Toubro"/>
    <n v="3"/>
    <n v="3"/>
    <n v="3"/>
    <n v="3"/>
    <n v="3"/>
    <n v="3"/>
    <n v="3"/>
    <n v="1"/>
    <n v="3"/>
    <n v="3"/>
    <n v="3"/>
    <n v="3"/>
    <n v="2.8333333333333335"/>
  </r>
  <r>
    <x v="4"/>
    <s v="Grasim Industries "/>
    <n v="3"/>
    <n v="3"/>
    <n v="3"/>
    <n v="3"/>
    <n v="3"/>
    <n v="3"/>
    <n v="3"/>
    <n v="1"/>
    <n v="3"/>
    <n v="3"/>
    <n v="3"/>
    <n v="3"/>
    <n v="2.8333333333333335"/>
  </r>
  <r>
    <x v="4"/>
    <s v="UltraTech Cement "/>
    <n v="3"/>
    <n v="3"/>
    <n v="0"/>
    <n v="3"/>
    <n v="3"/>
    <n v="3"/>
    <n v="3"/>
    <n v="1"/>
    <n v="3"/>
    <n v="2"/>
    <n v="3"/>
    <n v="3"/>
    <n v="2.5"/>
  </r>
  <r>
    <x v="5"/>
    <s v="Adani Enterprises "/>
    <n v="3"/>
    <n v="3"/>
    <n v="0"/>
    <n v="3"/>
    <n v="3"/>
    <n v="3"/>
    <n v="3"/>
    <n v="1"/>
    <n v="3"/>
    <n v="3"/>
    <n v="3"/>
    <n v="3"/>
    <n v="2.5833333333333335"/>
  </r>
  <r>
    <x v="5"/>
    <s v="Hindalco Industries "/>
    <n v="3"/>
    <n v="3"/>
    <n v="3"/>
    <n v="3"/>
    <n v="3"/>
    <n v="2"/>
    <n v="3"/>
    <n v="1"/>
    <n v="3"/>
    <n v="3"/>
    <n v="2"/>
    <n v="3"/>
    <n v="2.6666666666666665"/>
  </r>
  <r>
    <x v="5"/>
    <s v="JSW Steel"/>
    <n v="3"/>
    <n v="3"/>
    <n v="3"/>
    <n v="3"/>
    <n v="3"/>
    <n v="3"/>
    <n v="3"/>
    <n v="3"/>
    <n v="3"/>
    <n v="3"/>
    <n v="3"/>
    <n v="3"/>
    <n v="3"/>
  </r>
  <r>
    <x v="5"/>
    <s v="Tata Steel"/>
    <n v="3"/>
    <n v="3"/>
    <n v="3"/>
    <n v="3"/>
    <n v="3"/>
    <n v="2"/>
    <n v="3"/>
    <n v="3"/>
    <n v="3"/>
    <n v="3"/>
    <n v="3"/>
    <n v="3"/>
    <n v="2.916666666666666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Axis Bank "/>
    <n v="3"/>
    <n v="2"/>
    <n v="3"/>
    <n v="0"/>
    <n v="3"/>
    <n v="2"/>
    <n v="1"/>
    <n v="2"/>
    <n v="3"/>
    <n v="2.1111111111111112"/>
  </r>
  <r>
    <x v="0"/>
    <s v="Bajaj Finserv "/>
    <n v="2"/>
    <n v="2"/>
    <n v="3"/>
    <n v="0"/>
    <n v="3"/>
    <n v="2"/>
    <n v="1"/>
    <n v="1"/>
    <n v="3"/>
    <n v="1.8888888888888888"/>
  </r>
  <r>
    <x v="0"/>
    <s v="HDFC Bank "/>
    <n v="2"/>
    <n v="2"/>
    <n v="3"/>
    <n v="0"/>
    <s v="NA"/>
    <s v="NA"/>
    <n v="1"/>
    <n v="1"/>
    <n v="3"/>
    <n v="1.7142857142857142"/>
  </r>
  <r>
    <x v="0"/>
    <s v="ICICI Bank"/>
    <n v="2"/>
    <n v="2"/>
    <n v="3"/>
    <n v="0"/>
    <n v="3"/>
    <n v="3"/>
    <n v="1"/>
    <n v="1"/>
    <n v="3"/>
    <n v="2"/>
  </r>
  <r>
    <x v="0"/>
    <s v="State Bank of India"/>
    <n v="2"/>
    <n v="2"/>
    <n v="3"/>
    <n v="3"/>
    <n v="3"/>
    <n v="3"/>
    <n v="1"/>
    <n v="1"/>
    <n v="3"/>
    <n v="2.3333333333333335"/>
  </r>
  <r>
    <x v="1"/>
    <s v="HCL Technologies "/>
    <n v="2"/>
    <n v="2"/>
    <n v="3"/>
    <n v="1"/>
    <n v="3"/>
    <n v="3"/>
    <n v="1"/>
    <n v="1"/>
    <n v="3"/>
    <n v="2.1111111111111112"/>
  </r>
  <r>
    <x v="1"/>
    <s v="Infosys"/>
    <n v="2"/>
    <n v="2"/>
    <n v="3"/>
    <n v="3"/>
    <n v="3"/>
    <n v="3"/>
    <n v="1"/>
    <n v="3"/>
    <n v="3"/>
    <n v="2.5555555555555554"/>
  </r>
  <r>
    <x v="1"/>
    <s v="Tata Consultancy Services "/>
    <n v="2"/>
    <n v="2"/>
    <n v="3"/>
    <n v="0"/>
    <n v="3"/>
    <n v="3"/>
    <n v="1"/>
    <n v="3"/>
    <n v="3"/>
    <n v="2.2222222222222223"/>
  </r>
  <r>
    <x v="1"/>
    <s v="Tech Mahindra"/>
    <n v="2"/>
    <n v="2"/>
    <n v="3"/>
    <n v="0"/>
    <n v="3"/>
    <n v="3"/>
    <n v="1"/>
    <n v="3"/>
    <n v="3"/>
    <n v="2.2222222222222223"/>
  </r>
  <r>
    <x v="1"/>
    <s v="Wipro"/>
    <n v="2"/>
    <n v="2"/>
    <n v="3"/>
    <n v="0"/>
    <n v="3"/>
    <n v="3"/>
    <n v="1"/>
    <n v="3"/>
    <n v="3"/>
    <n v="2.2222222222222223"/>
  </r>
  <r>
    <x v="2"/>
    <s v="Apollo Hospitals Enterprise "/>
    <n v="2"/>
    <n v="2"/>
    <n v="3"/>
    <n v="0"/>
    <n v="3"/>
    <n v="3"/>
    <n v="1"/>
    <n v="1"/>
    <n v="3"/>
    <n v="2"/>
  </r>
  <r>
    <x v="2"/>
    <s v="Cipla "/>
    <n v="2"/>
    <n v="2"/>
    <n v="3"/>
    <n v="0"/>
    <n v="3"/>
    <n v="3"/>
    <n v="1"/>
    <n v="3"/>
    <n v="3"/>
    <n v="2.2222222222222223"/>
  </r>
  <r>
    <x v="2"/>
    <s v="Dr. Reddy's Laboratories "/>
    <n v="2"/>
    <n v="3"/>
    <n v="3"/>
    <n v="0"/>
    <n v="3"/>
    <n v="3"/>
    <n v="3"/>
    <n v="3"/>
    <n v="3"/>
    <n v="2.5555555555555554"/>
  </r>
  <r>
    <x v="2"/>
    <s v="Max Healthcare Institute "/>
    <n v="2"/>
    <n v="2"/>
    <n v="3"/>
    <n v="3"/>
    <n v="3"/>
    <n v="0"/>
    <n v="1"/>
    <n v="1"/>
    <n v="3"/>
    <n v="2"/>
  </r>
  <r>
    <x v="2"/>
    <s v="Sun Pharmaceutical Industries "/>
    <n v="2"/>
    <n v="2"/>
    <n v="3"/>
    <n v="0"/>
    <n v="3"/>
    <n v="3"/>
    <n v="1"/>
    <n v="1"/>
    <n v="3"/>
    <n v="2"/>
  </r>
  <r>
    <x v="3"/>
    <s v="Bajaj Auto "/>
    <n v="2"/>
    <n v="2"/>
    <n v="3"/>
    <n v="0"/>
    <n v="3"/>
    <n v="3"/>
    <n v="1"/>
    <n v="1"/>
    <n v="3"/>
    <n v="2"/>
  </r>
  <r>
    <x v="3"/>
    <s v="Eicher Motors "/>
    <n v="2"/>
    <n v="2"/>
    <n v="2"/>
    <n v="1"/>
    <n v="3"/>
    <n v="3"/>
    <n v="1"/>
    <n v="2"/>
    <n v="1"/>
    <n v="1.8888888888888888"/>
  </r>
  <r>
    <x v="3"/>
    <s v="Mahindra &amp; Mahindra "/>
    <n v="2"/>
    <n v="2"/>
    <n v="2"/>
    <n v="2"/>
    <n v="3"/>
    <n v="3"/>
    <n v="1"/>
    <n v="2"/>
    <n v="2"/>
    <n v="2.1111111111111112"/>
  </r>
  <r>
    <x v="3"/>
    <s v="Maruti Suzuki"/>
    <n v="2"/>
    <n v="2"/>
    <n v="2"/>
    <n v="1"/>
    <n v="3"/>
    <n v="3"/>
    <n v="1"/>
    <n v="2"/>
    <n v="1"/>
    <n v="1.8888888888888888"/>
  </r>
  <r>
    <x v="3"/>
    <s v="Tata Motors Passenger Vehicles "/>
    <n v="2"/>
    <n v="2"/>
    <n v="2"/>
    <n v="1"/>
    <n v="3"/>
    <n v="3"/>
    <n v="1"/>
    <n v="2"/>
    <n v="1"/>
    <n v="1.8888888888888888"/>
  </r>
  <r>
    <x v="4"/>
    <s v="Larsen &amp; Toubro"/>
    <n v="2"/>
    <n v="2"/>
    <n v="2"/>
    <n v="1"/>
    <n v="3"/>
    <n v="3"/>
    <n v="1"/>
    <n v="2"/>
    <n v="1"/>
    <n v="1.8888888888888888"/>
  </r>
  <r>
    <x v="4"/>
    <s v="Grasim Industries "/>
    <n v="2"/>
    <n v="2"/>
    <n v="2"/>
    <n v="1"/>
    <n v="3"/>
    <n v="3"/>
    <n v="1"/>
    <n v="2"/>
    <n v="1"/>
    <n v="1.8888888888888888"/>
  </r>
  <r>
    <x v="4"/>
    <s v="UltraTech Cement "/>
    <n v="2"/>
    <n v="2"/>
    <n v="2"/>
    <n v="1"/>
    <n v="3"/>
    <n v="3"/>
    <n v="1"/>
    <n v="1"/>
    <n v="1"/>
    <n v="1.7777777777777777"/>
  </r>
  <r>
    <x v="5"/>
    <s v="Adani Enterprises "/>
    <n v="2"/>
    <n v="2"/>
    <n v="2"/>
    <n v="1"/>
    <n v="3"/>
    <n v="3"/>
    <n v="2"/>
    <n v="1"/>
    <n v="1"/>
    <n v="1.8888888888888888"/>
  </r>
  <r>
    <x v="5"/>
    <s v="Hindalco Industries "/>
    <n v="2"/>
    <n v="3"/>
    <n v="2"/>
    <n v="1"/>
    <n v="3"/>
    <n v="3"/>
    <n v="1"/>
    <n v="2"/>
    <n v="3"/>
    <n v="2.2222222222222223"/>
  </r>
  <r>
    <x v="5"/>
    <s v="JSW Steel"/>
    <n v="2"/>
    <n v="3"/>
    <n v="2"/>
    <n v="1"/>
    <n v="3"/>
    <n v="3"/>
    <n v="2"/>
    <n v="2"/>
    <n v="1"/>
    <n v="2.1111111111111112"/>
  </r>
  <r>
    <x v="5"/>
    <s v="Tata Steel"/>
    <n v="2"/>
    <n v="2"/>
    <n v="3"/>
    <n v="1"/>
    <n v="3"/>
    <n v="3"/>
    <n v="3"/>
    <n v="3"/>
    <n v="2"/>
    <n v="2.444444444444444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Axis Bank "/>
    <n v="2"/>
    <n v="1"/>
    <n v="1"/>
    <n v="3"/>
    <n v="2"/>
    <n v="1"/>
    <n v="3"/>
    <n v="1.8571428571428572"/>
  </r>
  <r>
    <x v="0"/>
    <s v="Bajaj Finserv "/>
    <n v="1"/>
    <n v="1"/>
    <n v="3"/>
    <n v="3"/>
    <n v="2"/>
    <n v="1"/>
    <n v="3"/>
    <n v="2"/>
  </r>
  <r>
    <x v="0"/>
    <s v="HDFC Bank "/>
    <n v="1"/>
    <n v="1"/>
    <n v="1"/>
    <n v="3"/>
    <n v="3"/>
    <n v="1"/>
    <n v="3"/>
    <n v="1.8571428571428572"/>
  </r>
  <r>
    <x v="0"/>
    <s v="ICICI Bank"/>
    <n v="3"/>
    <n v="1"/>
    <n v="1"/>
    <n v="3"/>
    <n v="3"/>
    <n v="1"/>
    <n v="3"/>
    <n v="2.1428571428571428"/>
  </r>
  <r>
    <x v="0"/>
    <s v="State Bank of India"/>
    <n v="3"/>
    <n v="1"/>
    <n v="1"/>
    <n v="3"/>
    <n v="3"/>
    <n v="1"/>
    <n v="3"/>
    <n v="2.1428571428571428"/>
  </r>
  <r>
    <x v="1"/>
    <s v="HCL Technologies "/>
    <n v="1"/>
    <n v="1"/>
    <n v="1"/>
    <n v="3"/>
    <n v="2"/>
    <n v="1"/>
    <n v="3"/>
    <n v="1.7142857142857142"/>
  </r>
  <r>
    <x v="1"/>
    <s v="Infosys"/>
    <n v="1"/>
    <n v="1"/>
    <n v="1"/>
    <n v="3"/>
    <n v="3"/>
    <n v="1"/>
    <n v="3"/>
    <n v="1.8571428571428572"/>
  </r>
  <r>
    <x v="1"/>
    <s v="Tata Consultancy Services "/>
    <n v="1"/>
    <n v="1"/>
    <n v="1"/>
    <n v="3"/>
    <n v="3"/>
    <n v="1"/>
    <n v="3"/>
    <n v="1.8571428571428572"/>
  </r>
  <r>
    <x v="1"/>
    <s v="Tech Mahindra"/>
    <n v="1"/>
    <n v="1"/>
    <n v="1"/>
    <n v="3"/>
    <n v="3"/>
    <n v="1"/>
    <n v="3"/>
    <n v="1.8571428571428572"/>
  </r>
  <r>
    <x v="1"/>
    <s v="Wipro"/>
    <n v="1"/>
    <n v="1"/>
    <n v="1"/>
    <n v="3"/>
    <n v="3"/>
    <n v="1"/>
    <n v="3"/>
    <n v="1.8571428571428572"/>
  </r>
  <r>
    <x v="2"/>
    <s v="Apollo Hospitals Enterprise "/>
    <n v="1"/>
    <n v="1"/>
    <n v="1"/>
    <n v="3"/>
    <n v="2"/>
    <n v="1"/>
    <n v="3"/>
    <n v="1.7142857142857142"/>
  </r>
  <r>
    <x v="2"/>
    <s v="Cipla "/>
    <n v="1"/>
    <n v="3"/>
    <n v="3"/>
    <n v="3"/>
    <n v="3"/>
    <n v="3"/>
    <n v="3"/>
    <n v="2.7142857142857144"/>
  </r>
  <r>
    <x v="2"/>
    <s v="Dr. Reddy's Laboratories "/>
    <n v="1"/>
    <n v="3"/>
    <n v="3"/>
    <n v="3"/>
    <n v="3"/>
    <n v="3"/>
    <n v="3"/>
    <n v="2.7142857142857144"/>
  </r>
  <r>
    <x v="2"/>
    <s v="Max Healthcare Institute "/>
    <n v="1"/>
    <n v="1"/>
    <n v="1"/>
    <n v="3"/>
    <n v="2"/>
    <n v="1"/>
    <n v="3"/>
    <n v="1.7142857142857142"/>
  </r>
  <r>
    <x v="2"/>
    <s v="Sun Pharmaceutical Industries "/>
    <n v="1"/>
    <n v="1"/>
    <n v="1"/>
    <n v="3"/>
    <n v="3"/>
    <n v="1"/>
    <n v="3"/>
    <n v="1.8571428571428572"/>
  </r>
  <r>
    <x v="3"/>
    <s v="Bajaj Auto "/>
    <n v="1"/>
    <n v="1"/>
    <n v="1"/>
    <n v="3"/>
    <n v="3"/>
    <n v="1"/>
    <n v="3"/>
    <n v="1.8571428571428572"/>
  </r>
  <r>
    <x v="3"/>
    <s v="Eicher Motors "/>
    <n v="1"/>
    <n v="1"/>
    <n v="1"/>
    <n v="1"/>
    <n v="2"/>
    <n v="2"/>
    <n v="3"/>
    <n v="1.5714285714285714"/>
  </r>
  <r>
    <x v="3"/>
    <s v="Mahindra &amp; Mahindra "/>
    <n v="2"/>
    <n v="2"/>
    <n v="1"/>
    <n v="1"/>
    <n v="2"/>
    <n v="2"/>
    <n v="3"/>
    <n v="1.8571428571428572"/>
  </r>
  <r>
    <x v="3"/>
    <s v="Maruti Suzuki"/>
    <n v="1"/>
    <n v="2"/>
    <n v="1"/>
    <n v="1"/>
    <n v="2"/>
    <n v="2"/>
    <n v="3"/>
    <n v="1.7142857142857142"/>
  </r>
  <r>
    <x v="3"/>
    <s v="Tata Motors Passenger Vehicles "/>
    <n v="1"/>
    <n v="2"/>
    <n v="1"/>
    <n v="1"/>
    <n v="2"/>
    <n v="2"/>
    <n v="3"/>
    <n v="1.7142857142857142"/>
  </r>
  <r>
    <x v="4"/>
    <s v="Larsen &amp; Toubro"/>
    <n v="1"/>
    <n v="2"/>
    <n v="1"/>
    <n v="1"/>
    <n v="2"/>
    <n v="2"/>
    <n v="3"/>
    <n v="1.7142857142857142"/>
  </r>
  <r>
    <x v="4"/>
    <s v="Grasim Industries "/>
    <n v="1"/>
    <n v="2"/>
    <n v="1"/>
    <n v="1"/>
    <n v="2"/>
    <n v="2"/>
    <n v="3"/>
    <n v="1.7142857142857142"/>
  </r>
  <r>
    <x v="4"/>
    <s v="UltraTech Cement "/>
    <n v="1"/>
    <n v="2"/>
    <n v="1"/>
    <n v="1"/>
    <n v="2"/>
    <n v="1"/>
    <n v="3"/>
    <n v="1.5714285714285714"/>
  </r>
  <r>
    <x v="5"/>
    <s v="Adani Enterprises "/>
    <n v="1"/>
    <n v="2"/>
    <n v="1"/>
    <n v="1"/>
    <n v="2"/>
    <n v="2"/>
    <n v="3"/>
    <n v="1.7142857142857142"/>
  </r>
  <r>
    <x v="5"/>
    <s v="Hindalco Industries "/>
    <n v="2"/>
    <n v="2"/>
    <n v="1"/>
    <n v="1"/>
    <n v="2"/>
    <n v="2"/>
    <n v="3"/>
    <n v="1.8571428571428572"/>
  </r>
  <r>
    <x v="5"/>
    <s v="JSW Steel"/>
    <n v="1"/>
    <n v="2"/>
    <n v="1"/>
    <n v="1"/>
    <n v="2"/>
    <n v="2"/>
    <n v="3"/>
    <n v="1.7142857142857142"/>
  </r>
  <r>
    <x v="5"/>
    <s v="Tata Steel"/>
    <n v="2"/>
    <n v="3"/>
    <n v="3"/>
    <n v="3"/>
    <n v="2"/>
    <n v="3"/>
    <n v="3"/>
    <n v="2.714285714285714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2.7257575757575756"/>
    <n v="1.9555555555555557"/>
    <n v="1.7428571428571431"/>
  </r>
  <r>
    <x v="1"/>
    <n v="2.7222222222222228"/>
    <n v="1.8518518518518519"/>
    <n v="1.6666666666666667"/>
  </r>
  <r>
    <x v="2"/>
    <n v="2.583333333333333"/>
    <n v="2.0095238095238095"/>
    <n v="2"/>
  </r>
  <r>
    <x v="3"/>
    <n v="2.7333333333333334"/>
    <n v="2.1555555555555559"/>
    <n v="2.1428571428571432"/>
  </r>
  <r>
    <x v="4"/>
    <n v="2.8833333333333333"/>
    <n v="2.2666666666666666"/>
    <n v="1.8285714285714287"/>
  </r>
  <r>
    <x v="5"/>
    <n v="2.7916666666666665"/>
    <n v="2.1666666666666665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B7121-159F-4DFC-8ADC-C45FAE55D9AC}" name="Environment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Industry">
  <location ref="A3:N10" firstHeaderRow="0" firstDataRow="1" firstDataCol="1"/>
  <pivotFields count="15"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2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 Scope 1 GHG Emission" fld="2" subtotal="average" baseField="0" baseItem="0"/>
    <dataField name=" Scope 2 GHG Emission" fld="3" subtotal="average" baseField="0" baseItem="0"/>
    <dataField name=" Scope 3 GHG Emission" fld="4" subtotal="average" baseField="0" baseItem="0"/>
    <dataField name=" Emission Intensity" fld="5" subtotal="average" baseField="0" baseItem="0"/>
    <dataField name=" Total Energy Consumption" fld="6" subtotal="average" baseField="0" baseItem="0"/>
    <dataField name=" Renewable Energy %" fld="7" subtotal="average" baseField="0" baseItem="0"/>
    <dataField name=" Waste Recycled (%)" fld="11" subtotal="average" baseField="0" baseItem="0"/>
    <dataField name=" Net Zero Target" fld="12" subtotal="average" baseField="0" baseItem="0"/>
    <dataField name=" Waste Generated" fld="10" subtotal="average" baseField="0" baseItem="0"/>
    <dataField name=" Water Recycled (%)" fld="9" subtotal="average" baseField="0" baseItem="0"/>
    <dataField name=" External Assurance of Environmental Data" fld="13" subtotal="average" baseField="0" baseItem="0"/>
    <dataField name=" Water Withdrawal" fld="8" subtotal="average" baseField="0" baseItem="0"/>
    <dataField name=" Average" fld="14" subtotal="average" baseField="0" baseItem="2" numFmtId="2"/>
  </dataFields>
  <formats count="31">
    <format dxfId="88">
      <pivotArea field="0" type="button" dataOnly="0" labelOnly="1" outline="0" axis="axisRow" fieldPosition="0"/>
    </format>
    <format dxfId="87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0" type="button" dataOnly="0" labelOnly="1" outline="0" axis="axisRow" fieldPosition="0"/>
    </format>
    <format dxfId="83">
      <pivotArea dataOnly="0" labelOnly="1" fieldPosition="0">
        <references count="1">
          <reference field="0" count="0"/>
        </references>
      </pivotArea>
    </format>
    <format dxfId="82">
      <pivotArea dataOnly="0" labelOnly="1" grandRow="1" outline="0" fieldPosition="0"/>
    </format>
    <format dxfId="81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79">
      <pivotArea dataOnly="0" labelOnly="1" fieldPosition="0">
        <references count="1">
          <reference field="0" count="0"/>
        </references>
      </pivotArea>
    </format>
    <format dxfId="78">
      <pivotArea collapsedLevelsAreSubtotals="1" fieldPosition="0">
        <references count="2">
          <reference field="4294967294" count="1" selected="0">
            <x v="6"/>
          </reference>
          <reference field="0" count="1">
            <x v="1"/>
          </reference>
        </references>
      </pivotArea>
    </format>
    <format dxfId="77">
      <pivotArea field="0" grandRow="1" outline="0" collapsedLevelsAreSubtotals="1" axis="axisRow" fieldPosition="0">
        <references count="1">
          <reference field="4294967294" count="1" selected="0">
            <x v="8"/>
          </reference>
        </references>
      </pivotArea>
    </format>
    <format dxfId="76">
      <pivotArea field="0" grandRow="1" outline="0" collapsedLevelsAreSubtotals="1" axis="axisRow" fieldPosition="0">
        <references count="1">
          <reference field="4294967294" count="1" selected="0">
            <x v="6"/>
          </reference>
        </references>
      </pivotArea>
    </format>
    <format dxfId="75">
      <pivotArea field="0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74">
      <pivotArea field="0" grandRow="1" outline="0" collapsedLevelsAreSubtotals="1" axis="axisRow" fieldPosition="0">
        <references count="1">
          <reference field="4294967294" count="1" selected="0">
            <x v="7"/>
          </reference>
        </references>
      </pivotArea>
    </format>
    <format dxfId="73">
      <pivotArea field="0" grandRow="1" outline="0" collapsedLevelsAreSubtotals="1" axis="axisRow" fieldPosition="0">
        <references count="1">
          <reference field="4294967294" count="1" selected="0">
            <x v="9"/>
          </reference>
        </references>
      </pivotArea>
    </format>
    <format dxfId="72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71">
      <pivotArea dataOnly="0" labelOnly="1" fieldPosition="0">
        <references count="1">
          <reference field="0" count="1">
            <x v="0"/>
          </reference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7">
      <pivotArea field="0" type="button" dataOnly="0" labelOnly="1" outline="0" axis="axisRow" fieldPosition="0"/>
    </format>
    <format dxfId="6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4">
      <pivotArea field="0" type="button" dataOnly="0" labelOnly="1" outline="0" axis="axisRow" fieldPosition="0"/>
    </format>
    <format dxfId="63">
      <pivotArea field="0" type="button" dataOnly="0" labelOnly="1" outline="0" axis="axisRow" fieldPosition="0"/>
    </format>
    <format dxfId="62">
      <pivotArea grandRow="1" outline="0" collapsedLevelsAreSubtotals="1" fieldPosition="0"/>
    </format>
    <format dxfId="61">
      <pivotArea dataOnly="0" fieldPosition="0">
        <references count="1">
          <reference field="0" count="0"/>
        </references>
      </pivotArea>
    </format>
    <format dxfId="60">
      <pivotArea dataOnly="0" fieldPosition="0">
        <references count="1">
          <reference field="0" count="0"/>
        </references>
      </pivotArea>
    </format>
    <format dxfId="59">
      <pivotArea collapsedLevelsAreSubtotals="1" fieldPosition="0">
        <references count="1">
          <reference field="0" count="0"/>
        </references>
      </pivotArea>
    </format>
    <format dxfId="58">
      <pivotArea dataOnly="0" labelOnly="1" fieldPosition="0">
        <references count="1">
          <reference field="0" count="0"/>
        </references>
      </pivotArea>
    </format>
  </formats>
  <conditionalFormats count="4">
    <conditionalFormat priority="42">
      <pivotAreas count="1">
        <pivotArea type="data" grandRow="1" outline="0" collapsedLevelsAreSubtotals="1" fieldPosition="0"/>
      </pivotAreas>
    </conditionalFormat>
    <conditionalFormat priority="37">
      <pivotAreas count="1">
        <pivotArea type="data" collapsedLevelsAreSubtotals="1" fieldPosition="0">
          <references count="1">
            <reference field="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36">
      <pivotAreas count="1">
        <pivotArea type="data" grandRow="1" outline="0" collapsedLevelsAreSubtotals="1" fieldPosition="0"/>
      </pivotAreas>
    </conditionalFormat>
    <conditionalFormat priority="34">
      <pivotAreas count="1">
        <pivotArea type="data" grandRow="1" outline="0" collapsedLevelsAreSubtotals="1" fieldPosition="0"/>
      </pivotAreas>
    </conditionalFormat>
  </conditional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8108D-30B2-4751-96A3-C4FE61B7ADF7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I34" firstHeaderRow="0" firstDataRow="1" firstDataCol="1"/>
  <pivotFields count="10"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2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 Independent Directors (%)" fld="2" subtotal="average" baseField="0" baseItem="0"/>
    <dataField name=" ESG Governance at Board Level" fld="3" subtotal="average" baseField="0" baseItem="0"/>
    <dataField name=" Anti-corruption policy" fld="4" subtotal="average" baseField="0" baseItem="0"/>
    <dataField name="Average of Whistleblower mechanism" fld="5" subtotal="average" baseField="0" baseItem="0"/>
    <dataField name=" Number of corruption cases" fld="6" subtotal="average" baseField="0" baseItem="0"/>
    <dataField name=" Data privacy &amp; cybersecurity governance" fld="7" subtotal="average" baseField="0" baseItem="0"/>
    <dataField name=" External ESG assurance" fld="8" subtotal="average" baseField="0" baseItem="0"/>
    <dataField name=" Average" fld="9" subtotal="average" baseField="0" baseItem="0" numFmtId="2"/>
  </dataFields>
  <formats count="18">
    <format dxfId="106">
      <pivotArea field="0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04">
      <pivotArea grandRow="1" outline="0" collapsedLevelsAreSubtotals="1" fieldPosition="0"/>
    </format>
    <format dxfId="103">
      <pivotArea dataOnly="0" labelOnly="1" grandRow="1" outline="0" fieldPosition="0"/>
    </format>
    <format dxfId="102">
      <pivotArea field="0" type="button" dataOnly="0" labelOnly="1" outline="0" axis="axisRow" fieldPosition="0"/>
    </format>
    <format dxfId="10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00">
      <pivotArea field="0" type="button" dataOnly="0" labelOnly="1" outline="0" axis="axisRow" fieldPosition="0"/>
    </format>
    <format dxfId="99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98">
      <pivotArea field="0" type="button" dataOnly="0" labelOnly="1" outline="0" axis="axisRow" fieldPosition="0"/>
    </format>
    <format dxfId="9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96">
      <pivotArea collapsedLevelsAreSubtotals="1" fieldPosition="0">
        <references count="2">
          <reference field="4294967294" count="1" selected="0">
            <x v="5"/>
          </reference>
          <reference field="0" count="1">
            <x v="1"/>
          </reference>
        </references>
      </pivotArea>
    </format>
    <format dxfId="95">
      <pivotArea grandRow="1" outline="0" collapsedLevelsAreSubtotals="1" fieldPosition="0"/>
    </format>
    <format dxfId="94">
      <pivotArea field="0" type="button" dataOnly="0" labelOnly="1" outline="0" axis="axisRow" fieldPosition="0"/>
    </format>
    <format dxfId="9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92">
      <pivotArea field="0" type="button" dataOnly="0" labelOnly="1" outline="0" axis="axisRow" fieldPosition="0"/>
    </format>
    <format dxfId="9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90">
      <pivotArea grandRow="1" outline="0" collapsedLevelsAreSubtotals="1" fieldPosition="0"/>
    </format>
    <format dxfId="89">
      <pivotArea dataOnly="0" labelOnly="1" grandRow="1" outline="0" fieldPosition="0"/>
    </format>
  </formats>
  <conditionalFormats count="4">
    <conditionalFormat priority="27">
      <pivotAreas count="1">
        <pivotArea type="data" collapsedLevelsAreSubtotals="1" fieldPosition="0">
          <references count="1">
            <reference field="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26">
      <pivotAreas count="1">
        <pivotArea type="data" grandRow="1" outline="0" collapsedLevelsAreSubtotals="1" fieldPosition="0"/>
      </pivotAreas>
    </conditionalFormat>
    <conditionalFormat priority="24">
      <pivotAreas count="1">
        <pivotArea type="data" grandRow="1" outline="0" collapsedLevelsAreSubtotals="1" fieldPosition="0"/>
      </pivotAreas>
    </conditionalFormat>
    <conditionalFormat priority="23">
      <pivotAreas count="1">
        <pivotArea type="data" grandRow="1" outline="0" collapsedLevelsAreSubtotals="1" fieldPosition="0"/>
      </pivotAreas>
    </conditionalFormat>
  </conditional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D26AC-DB09-4B4C-A40B-4ACEC1A913A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dustry">
  <location ref="A15:K22" firstHeaderRow="0" firstDataRow="1" firstDataCol="1"/>
  <pivotFields count="12"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2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 Women Employees (%)" fld="2" subtotal="average" baseField="0" baseItem="0"/>
    <dataField name=" Women On Board (%)" fld="3" subtotal="average" baseField="0" baseItem="0"/>
    <dataField name=" Training Hours (PP)" fld="5" subtotal="average" baseField="0" baseItem="0"/>
    <dataField name=" Employee Turnover" fld="4" subtotal="average" baseField="0" baseItem="0"/>
    <dataField name=" Lost Time Injury Frequency Rate (LTIFR)" fld="6" subtotal="average" baseField="0" baseItem="0"/>
    <dataField name=" Fatalities" fld="7" subtotal="average" baseField="0" baseItem="0"/>
    <dataField name=" Human Rights Policy" fld="8" subtotal="average" baseField="0" baseItem="0"/>
    <dataField name=" Supplier ESG Assessment" fld="9" subtotal="average" baseField="0" baseItem="0"/>
    <dataField name=" Community Investment / CSR" fld="10" subtotal="average" baseField="0" baseItem="0"/>
    <dataField name=" Average" fld="11" subtotal="average" baseField="0" baseItem="0" numFmtId="2"/>
  </dataFields>
  <formats count="29">
    <format dxfId="135">
      <pivotArea field="0" type="button" dataOnly="0" labelOnly="1" outline="0" axis="axisRow" fieldPosition="0"/>
    </format>
    <format dxfId="134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33">
      <pivotArea field="0" type="button" dataOnly="0" labelOnly="1" outline="0" axis="axisRow" fieldPosition="0"/>
    </format>
    <format dxfId="132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31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30">
      <pivotArea field="0" type="button" dataOnly="0" labelOnly="1" outline="0" axis="axisRow" fieldPosition="0"/>
    </format>
    <format dxfId="129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28">
      <pivotArea field="0" type="button" dataOnly="0" labelOnly="1" outline="0" axis="axisRow" fieldPosition="0"/>
    </format>
    <format dxfId="127">
      <pivotArea collapsedLevelsAreSubtotals="1" fieldPosition="0">
        <references count="2">
          <reference field="4294967294" count="1" selected="0">
            <x v="7"/>
          </reference>
          <reference field="0" count="1">
            <x v="1"/>
          </reference>
        </references>
      </pivotArea>
    </format>
    <format dxfId="126">
      <pivotArea grandRow="1" outline="0" collapsedLevelsAreSubtotals="1" fieldPosition="0"/>
    </format>
    <format dxfId="125">
      <pivotArea grandRow="1" outline="0" collapsedLevelsAreSubtotals="1" fieldPosition="0"/>
    </format>
    <format dxfId="124">
      <pivotArea dataOnly="0" labelOnly="1" grandRow="1" outline="0" fieldPosition="0"/>
    </format>
    <format dxfId="123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22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21">
      <pivotArea field="0" type="button" dataOnly="0" labelOnly="1" outline="0" axis="axisRow" fieldPosition="0"/>
    </format>
    <format dxfId="120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19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18">
      <pivotArea field="0" type="button" dataOnly="0" labelOnly="1" outline="0" axis="axisRow" fieldPosition="0"/>
    </format>
    <format dxfId="117">
      <pivotArea field="0" type="button" dataOnly="0" labelOnly="1" outline="0" axis="axisRow" fieldPosition="0"/>
    </format>
    <format dxfId="116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15">
      <pivotArea field="0" type="button" dataOnly="0" labelOnly="1" outline="0" axis="axisRow" fieldPosition="0"/>
    </format>
    <format dxfId="114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13">
      <pivotArea grandRow="1" outline="0" collapsedLevelsAreSubtotals="1" fieldPosition="0"/>
    </format>
    <format dxfId="112">
      <pivotArea field="0" type="button" dataOnly="0" labelOnly="1" outline="0" axis="axisRow" fieldPosition="0"/>
    </format>
    <format dxfId="111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10">
      <pivotArea field="0" type="button" dataOnly="0" labelOnly="1" outline="0" axis="axisRow" fieldPosition="0"/>
    </format>
    <format dxfId="109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08">
      <pivotArea field="0" type="button" dataOnly="0" labelOnly="1" outline="0" axis="axisRow" fieldPosition="0"/>
    </format>
    <format dxfId="10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conditionalFormats count="4">
    <conditionalFormat priority="31">
      <pivotAreas count="1">
        <pivotArea type="data" collapsedLevelsAreSubtotals="1" fieldPosition="0">
          <references count="1">
            <reference field="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30">
      <pivotAreas count="1">
        <pivotArea type="data" grandRow="1" outline="0" collapsedLevelsAreSubtotals="1" fieldPosition="0"/>
      </pivotAreas>
    </conditionalFormat>
    <conditionalFormat priority="29">
      <pivotAreas count="1">
        <pivotArea type="data" grandRow="1" outline="0" collapsedLevelsAreSubtotals="1" fieldPosition="0"/>
      </pivotAreas>
    </conditionalFormat>
    <conditionalFormat priority="28">
      <pivotAreas count="1">
        <pivotArea type="data" grandRow="1" outline="0" collapsedLevelsAreSubtotals="1" fieldPosition="0"/>
      </pivotAreas>
    </conditionalFormat>
  </conditional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EDAEC-D955-4A46-8C79-85F3C49A4D53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T14:W21" firstHeaderRow="0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numFmtId="2" showAll="0"/>
    <pivotField dataField="1" numFmtId="2" showAll="0"/>
    <pivotField dataField="1" numFmtId="2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ENVIRONMENT" fld="1" subtotal="average" baseField="0" baseItem="0" numFmtId="2"/>
    <dataField name=" SOCIAL" fld="2" subtotal="average" baseField="0" baseItem="0" numFmtId="2"/>
    <dataField name=" GOVERNANCE" fld="3" subtotal="average" baseField="0" baseItem="0" numFmtId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AD9793-EF39-4E9A-8C72-ECC72B0B5A24}" name="Table4" displayName="Table4" ref="B1:D36" totalsRowShown="0" headerRowDxfId="140" tableBorderDxfId="139">
  <autoFilter ref="B1:D36" xr:uid="{EAAD9793-EF39-4E9A-8C72-ECC72B0B5A24}"/>
  <sortState xmlns:xlrd2="http://schemas.microsoft.com/office/spreadsheetml/2017/richdata2" ref="B2:D36">
    <sortCondition ref="D1:D36"/>
  </sortState>
  <tableColumns count="3">
    <tableColumn id="1" xr3:uid="{E691D9D2-8D96-4898-9F72-3A1BBF04C661}" name="Nifty Rank" dataDxfId="138"/>
    <tableColumn id="2" xr3:uid="{385F5C4F-D023-4374-B22F-97CDF4C83004}" name="Company Name" dataDxfId="137"/>
    <tableColumn id="3" xr3:uid="{328ED208-22DD-47D4-B5CC-C7A5961E4B7C}" name="Industry" dataDxfId="13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3D28-D759-4595-9840-719307DA2359}">
  <dimension ref="A1:G55"/>
  <sheetViews>
    <sheetView topLeftCell="A17" zoomScaleNormal="100" workbookViewId="0">
      <selection sqref="A1:F34"/>
    </sheetView>
  </sheetViews>
  <sheetFormatPr defaultRowHeight="13.2" x14ac:dyDescent="0.25"/>
  <cols>
    <col min="1" max="1" width="3.296875" style="109" bestFit="1" customWidth="1"/>
    <col min="2" max="2" width="30.3984375" style="109" customWidth="1"/>
    <col min="3" max="3" width="27.19921875" style="43" customWidth="1"/>
    <col min="4" max="4" width="50.796875" style="117" customWidth="1"/>
    <col min="5" max="5" width="6.5" style="109" bestFit="1" customWidth="1"/>
    <col min="6" max="6" width="63.296875" style="117" customWidth="1"/>
    <col min="7" max="7" width="8.796875" style="109"/>
    <col min="8" max="8" width="6.09765625" style="109" bestFit="1" customWidth="1"/>
    <col min="9" max="9" width="41.09765625" style="109" bestFit="1" customWidth="1"/>
    <col min="10" max="16384" width="8.796875" style="109"/>
  </cols>
  <sheetData>
    <row r="1" spans="1:6" x14ac:dyDescent="0.25">
      <c r="A1" s="154" t="s">
        <v>110</v>
      </c>
      <c r="B1" s="154"/>
      <c r="C1" s="154"/>
      <c r="D1" s="154"/>
      <c r="E1" s="154"/>
      <c r="F1" s="154"/>
    </row>
    <row r="2" spans="1:6" ht="26.4" x14ac:dyDescent="0.25">
      <c r="B2" s="92" t="s">
        <v>47</v>
      </c>
      <c r="C2" s="93" t="s">
        <v>48</v>
      </c>
      <c r="D2" s="115" t="s">
        <v>187</v>
      </c>
      <c r="E2" s="93" t="s">
        <v>188</v>
      </c>
      <c r="F2" s="115" t="s">
        <v>189</v>
      </c>
    </row>
    <row r="3" spans="1:6" ht="22.8" x14ac:dyDescent="0.25">
      <c r="A3" s="109">
        <v>1</v>
      </c>
      <c r="B3" s="109" t="s">
        <v>49</v>
      </c>
      <c r="C3" s="43" t="s">
        <v>50</v>
      </c>
      <c r="D3" s="116" t="s">
        <v>190</v>
      </c>
      <c r="E3" s="93">
        <v>3</v>
      </c>
      <c r="F3" s="115" t="s">
        <v>194</v>
      </c>
    </row>
    <row r="4" spans="1:6" ht="22.8" x14ac:dyDescent="0.25">
      <c r="A4" s="109">
        <v>2</v>
      </c>
      <c r="B4" s="109" t="s">
        <v>51</v>
      </c>
      <c r="C4" s="43" t="s">
        <v>52</v>
      </c>
      <c r="D4" s="116" t="s">
        <v>191</v>
      </c>
      <c r="E4" s="93">
        <v>3</v>
      </c>
      <c r="F4" s="115" t="s">
        <v>222</v>
      </c>
    </row>
    <row r="5" spans="1:6" ht="22.8" x14ac:dyDescent="0.25">
      <c r="A5" s="109">
        <v>3</v>
      </c>
      <c r="B5" s="109" t="s">
        <v>53</v>
      </c>
      <c r="C5" s="43" t="s">
        <v>54</v>
      </c>
      <c r="D5" s="116" t="s">
        <v>192</v>
      </c>
      <c r="E5" s="93">
        <v>2</v>
      </c>
      <c r="F5" s="115" t="s">
        <v>223</v>
      </c>
    </row>
    <row r="6" spans="1:6" ht="26.4" x14ac:dyDescent="0.25">
      <c r="A6" s="109">
        <v>4</v>
      </c>
      <c r="B6" s="109" t="s">
        <v>55</v>
      </c>
      <c r="C6" s="43" t="s">
        <v>56</v>
      </c>
      <c r="D6" s="116" t="s">
        <v>193</v>
      </c>
      <c r="E6" s="93">
        <v>2</v>
      </c>
      <c r="F6" s="115" t="s">
        <v>194</v>
      </c>
    </row>
    <row r="7" spans="1:6" x14ac:dyDescent="0.25">
      <c r="A7" s="109">
        <v>5</v>
      </c>
      <c r="B7" s="109" t="s">
        <v>57</v>
      </c>
      <c r="C7" s="43" t="s">
        <v>58</v>
      </c>
      <c r="D7" s="116" t="s">
        <v>195</v>
      </c>
      <c r="E7" s="93">
        <v>2</v>
      </c>
      <c r="F7" s="115" t="s">
        <v>194</v>
      </c>
    </row>
    <row r="8" spans="1:6" ht="22.8" x14ac:dyDescent="0.25">
      <c r="A8" s="109">
        <v>6</v>
      </c>
      <c r="B8" s="109" t="s">
        <v>59</v>
      </c>
      <c r="C8" s="43" t="s">
        <v>60</v>
      </c>
      <c r="D8" s="116" t="s">
        <v>196</v>
      </c>
      <c r="E8" s="93">
        <v>2</v>
      </c>
      <c r="F8" s="115" t="s">
        <v>194</v>
      </c>
    </row>
    <row r="9" spans="1:6" ht="23.4" x14ac:dyDescent="0.25">
      <c r="A9" s="109">
        <v>7</v>
      </c>
      <c r="B9" s="109" t="s">
        <v>61</v>
      </c>
      <c r="C9" s="43" t="s">
        <v>62</v>
      </c>
      <c r="D9" s="116" t="s">
        <v>197</v>
      </c>
      <c r="E9" s="93">
        <v>2</v>
      </c>
      <c r="F9" s="115" t="s">
        <v>224</v>
      </c>
    </row>
    <row r="10" spans="1:6" ht="23.4" x14ac:dyDescent="0.25">
      <c r="A10" s="109">
        <v>8</v>
      </c>
      <c r="B10" s="109" t="s">
        <v>63</v>
      </c>
      <c r="C10" s="43" t="s">
        <v>64</v>
      </c>
      <c r="D10" s="116" t="s">
        <v>198</v>
      </c>
      <c r="E10" s="93">
        <v>2</v>
      </c>
      <c r="F10" s="115" t="s">
        <v>225</v>
      </c>
    </row>
    <row r="11" spans="1:6" x14ac:dyDescent="0.25">
      <c r="A11" s="109">
        <v>9</v>
      </c>
      <c r="B11" s="109" t="s">
        <v>65</v>
      </c>
      <c r="C11" s="43" t="s">
        <v>66</v>
      </c>
      <c r="D11" s="116" t="s">
        <v>199</v>
      </c>
      <c r="E11" s="93">
        <v>2</v>
      </c>
      <c r="F11" s="115" t="s">
        <v>194</v>
      </c>
    </row>
    <row r="12" spans="1:6" ht="23.4" x14ac:dyDescent="0.25">
      <c r="A12" s="109">
        <v>10</v>
      </c>
      <c r="B12" s="109" t="s">
        <v>67</v>
      </c>
      <c r="C12" s="43" t="s">
        <v>68</v>
      </c>
      <c r="D12" s="116" t="s">
        <v>200</v>
      </c>
      <c r="E12" s="93">
        <v>2</v>
      </c>
      <c r="F12" s="115" t="s">
        <v>226</v>
      </c>
    </row>
    <row r="13" spans="1:6" x14ac:dyDescent="0.25">
      <c r="A13" s="109">
        <v>11</v>
      </c>
      <c r="B13" s="109" t="s">
        <v>69</v>
      </c>
      <c r="C13" s="43" t="s">
        <v>70</v>
      </c>
      <c r="D13" s="116" t="s">
        <v>201</v>
      </c>
      <c r="E13" s="93">
        <v>0</v>
      </c>
      <c r="F13" s="115" t="s">
        <v>202</v>
      </c>
    </row>
    <row r="14" spans="1:6" ht="22.8" x14ac:dyDescent="0.25">
      <c r="A14" s="109">
        <v>12</v>
      </c>
      <c r="B14" s="109" t="s">
        <v>71</v>
      </c>
      <c r="C14" s="43" t="s">
        <v>72</v>
      </c>
      <c r="D14" s="116" t="s">
        <v>203</v>
      </c>
      <c r="E14" s="93">
        <v>2</v>
      </c>
      <c r="F14" s="115" t="s">
        <v>194</v>
      </c>
    </row>
    <row r="15" spans="1:6" x14ac:dyDescent="0.25">
      <c r="A15" s="154" t="s">
        <v>111</v>
      </c>
      <c r="B15" s="154"/>
      <c r="C15" s="154"/>
      <c r="D15" s="154"/>
      <c r="E15" s="154"/>
      <c r="F15" s="154"/>
    </row>
    <row r="16" spans="1:6" ht="26.4" x14ac:dyDescent="0.25">
      <c r="B16" s="93" t="s">
        <v>47</v>
      </c>
      <c r="C16" s="93" t="s">
        <v>48</v>
      </c>
      <c r="D16" s="115" t="s">
        <v>187</v>
      </c>
      <c r="E16" s="93" t="s">
        <v>188</v>
      </c>
      <c r="F16" s="115" t="s">
        <v>189</v>
      </c>
    </row>
    <row r="17" spans="1:6" ht="22.8" x14ac:dyDescent="0.25">
      <c r="A17" s="109">
        <v>1</v>
      </c>
      <c r="B17" s="43" t="s">
        <v>73</v>
      </c>
      <c r="C17" s="43" t="s">
        <v>74</v>
      </c>
      <c r="D17" s="116" t="s">
        <v>204</v>
      </c>
      <c r="E17" s="93">
        <v>2</v>
      </c>
      <c r="F17" s="115" t="s">
        <v>194</v>
      </c>
    </row>
    <row r="18" spans="1:6" ht="22.8" x14ac:dyDescent="0.25">
      <c r="A18" s="109">
        <v>2</v>
      </c>
      <c r="B18" s="43" t="s">
        <v>75</v>
      </c>
      <c r="C18" s="43" t="s">
        <v>76</v>
      </c>
      <c r="D18" s="116" t="s">
        <v>205</v>
      </c>
      <c r="E18" s="93">
        <v>2</v>
      </c>
      <c r="F18" s="115" t="s">
        <v>194</v>
      </c>
    </row>
    <row r="19" spans="1:6" x14ac:dyDescent="0.25">
      <c r="A19" s="109">
        <v>3</v>
      </c>
      <c r="B19" s="43" t="s">
        <v>77</v>
      </c>
      <c r="C19" s="43" t="s">
        <v>78</v>
      </c>
      <c r="D19" s="116" t="s">
        <v>206</v>
      </c>
      <c r="E19" s="93">
        <v>2</v>
      </c>
      <c r="F19" s="115" t="s">
        <v>194</v>
      </c>
    </row>
    <row r="20" spans="1:6" x14ac:dyDescent="0.25">
      <c r="A20" s="109">
        <v>4</v>
      </c>
      <c r="B20" s="43" t="s">
        <v>163</v>
      </c>
      <c r="C20" s="43" t="s">
        <v>79</v>
      </c>
      <c r="D20" s="116" t="s">
        <v>207</v>
      </c>
      <c r="E20" s="93">
        <v>2</v>
      </c>
      <c r="F20" s="115" t="s">
        <v>194</v>
      </c>
    </row>
    <row r="21" spans="1:6" ht="26.4" x14ac:dyDescent="0.25">
      <c r="A21" s="109">
        <v>5</v>
      </c>
      <c r="B21" s="43" t="s">
        <v>80</v>
      </c>
      <c r="C21" s="43" t="s">
        <v>81</v>
      </c>
      <c r="D21" s="116" t="s">
        <v>208</v>
      </c>
      <c r="E21" s="93">
        <v>2</v>
      </c>
      <c r="F21" s="115" t="s">
        <v>194</v>
      </c>
    </row>
    <row r="22" spans="1:6" x14ac:dyDescent="0.25">
      <c r="A22" s="109">
        <v>6</v>
      </c>
      <c r="B22" s="43" t="s">
        <v>82</v>
      </c>
      <c r="C22" s="43" t="s">
        <v>83</v>
      </c>
      <c r="D22" s="116" t="s">
        <v>209</v>
      </c>
      <c r="E22" s="93">
        <v>2</v>
      </c>
      <c r="F22" s="115" t="s">
        <v>194</v>
      </c>
    </row>
    <row r="23" spans="1:6" ht="22.8" x14ac:dyDescent="0.25">
      <c r="A23" s="109">
        <v>7</v>
      </c>
      <c r="B23" s="43" t="s">
        <v>84</v>
      </c>
      <c r="C23" s="43" t="s">
        <v>85</v>
      </c>
      <c r="D23" s="116" t="s">
        <v>210</v>
      </c>
      <c r="E23" s="93">
        <v>1</v>
      </c>
      <c r="F23" s="115" t="s">
        <v>194</v>
      </c>
    </row>
    <row r="24" spans="1:6" ht="34.799999999999997" x14ac:dyDescent="0.25">
      <c r="A24" s="109">
        <v>8</v>
      </c>
      <c r="B24" s="43" t="s">
        <v>86</v>
      </c>
      <c r="C24" s="43" t="s">
        <v>87</v>
      </c>
      <c r="D24" s="116" t="s">
        <v>211</v>
      </c>
      <c r="E24" s="93">
        <v>2</v>
      </c>
      <c r="F24" s="115" t="s">
        <v>227</v>
      </c>
    </row>
    <row r="25" spans="1:6" ht="23.4" x14ac:dyDescent="0.25">
      <c r="A25" s="109">
        <v>9</v>
      </c>
      <c r="B25" s="43" t="s">
        <v>88</v>
      </c>
      <c r="C25" s="43" t="s">
        <v>89</v>
      </c>
      <c r="D25" s="116" t="s">
        <v>212</v>
      </c>
      <c r="E25" s="93">
        <v>2</v>
      </c>
      <c r="F25" s="115" t="s">
        <v>228</v>
      </c>
    </row>
    <row r="26" spans="1:6" x14ac:dyDescent="0.25">
      <c r="A26" s="154" t="s">
        <v>112</v>
      </c>
      <c r="B26" s="154"/>
      <c r="C26" s="154"/>
      <c r="D26" s="154"/>
      <c r="E26" s="154"/>
      <c r="F26" s="154"/>
    </row>
    <row r="27" spans="1:6" ht="26.4" x14ac:dyDescent="0.25">
      <c r="B27" s="93" t="s">
        <v>47</v>
      </c>
      <c r="C27" s="93" t="s">
        <v>48</v>
      </c>
      <c r="D27" s="115" t="s">
        <v>187</v>
      </c>
      <c r="E27" s="93" t="s">
        <v>188</v>
      </c>
      <c r="F27" s="115" t="s">
        <v>187</v>
      </c>
    </row>
    <row r="28" spans="1:6" ht="22.8" x14ac:dyDescent="0.25">
      <c r="A28" s="109">
        <v>1</v>
      </c>
      <c r="B28" s="43" t="s">
        <v>90</v>
      </c>
      <c r="C28" s="43" t="s">
        <v>91</v>
      </c>
      <c r="D28" s="116" t="s">
        <v>213</v>
      </c>
      <c r="E28" s="93">
        <v>2</v>
      </c>
      <c r="F28" s="115" t="s">
        <v>194</v>
      </c>
    </row>
    <row r="29" spans="1:6" ht="22.8" x14ac:dyDescent="0.25">
      <c r="A29" s="109">
        <v>2</v>
      </c>
      <c r="B29" s="43" t="s">
        <v>92</v>
      </c>
      <c r="C29" s="43" t="s">
        <v>93</v>
      </c>
      <c r="D29" s="116" t="s">
        <v>214</v>
      </c>
      <c r="E29" s="93">
        <v>1</v>
      </c>
      <c r="F29" s="115" t="s">
        <v>194</v>
      </c>
    </row>
    <row r="30" spans="1:6" ht="22.8" x14ac:dyDescent="0.25">
      <c r="A30" s="109">
        <v>3</v>
      </c>
      <c r="B30" s="43" t="s">
        <v>94</v>
      </c>
      <c r="C30" s="43" t="s">
        <v>95</v>
      </c>
      <c r="D30" s="116" t="s">
        <v>215</v>
      </c>
      <c r="E30" s="93">
        <v>1</v>
      </c>
      <c r="F30" s="115" t="s">
        <v>194</v>
      </c>
    </row>
    <row r="31" spans="1:6" ht="22.8" x14ac:dyDescent="0.25">
      <c r="A31" s="109">
        <v>4</v>
      </c>
      <c r="B31" s="43" t="s">
        <v>96</v>
      </c>
      <c r="C31" s="43" t="s">
        <v>97</v>
      </c>
      <c r="D31" s="116" t="s">
        <v>216</v>
      </c>
      <c r="E31" s="93">
        <v>1</v>
      </c>
      <c r="F31" s="115" t="s">
        <v>194</v>
      </c>
    </row>
    <row r="32" spans="1:6" ht="24" x14ac:dyDescent="0.25">
      <c r="A32" s="109">
        <v>5</v>
      </c>
      <c r="B32" s="43" t="s">
        <v>98</v>
      </c>
      <c r="C32" s="43" t="s">
        <v>99</v>
      </c>
      <c r="D32" s="116" t="s">
        <v>217</v>
      </c>
      <c r="E32" s="93">
        <v>2</v>
      </c>
      <c r="F32" s="115" t="s">
        <v>229</v>
      </c>
    </row>
    <row r="33" spans="1:7" ht="26.4" x14ac:dyDescent="0.25">
      <c r="A33" s="109">
        <v>6</v>
      </c>
      <c r="B33" s="43" t="s">
        <v>100</v>
      </c>
      <c r="C33" s="43" t="s">
        <v>101</v>
      </c>
      <c r="D33" s="116" t="s">
        <v>218</v>
      </c>
      <c r="E33" s="93">
        <v>2</v>
      </c>
      <c r="F33" s="115" t="s">
        <v>194</v>
      </c>
    </row>
    <row r="34" spans="1:7" ht="34.200000000000003" x14ac:dyDescent="0.25">
      <c r="A34" s="109">
        <v>7</v>
      </c>
      <c r="B34" s="43" t="s">
        <v>102</v>
      </c>
      <c r="C34" s="43" t="s">
        <v>103</v>
      </c>
      <c r="D34" s="116" t="s">
        <v>221</v>
      </c>
      <c r="E34" s="93">
        <v>2</v>
      </c>
      <c r="F34" s="115" t="s">
        <v>194</v>
      </c>
    </row>
    <row r="38" spans="1:7" x14ac:dyDescent="0.25">
      <c r="B38" s="93"/>
      <c r="C38" s="93"/>
      <c r="D38" s="115"/>
      <c r="E38" s="93"/>
      <c r="F38" s="115"/>
      <c r="G38" s="93"/>
    </row>
    <row r="39" spans="1:7" x14ac:dyDescent="0.25">
      <c r="B39" s="93"/>
      <c r="E39" s="43"/>
      <c r="F39" s="116"/>
    </row>
    <row r="40" spans="1:7" x14ac:dyDescent="0.25">
      <c r="B40" s="93"/>
      <c r="E40" s="43"/>
      <c r="F40" s="116"/>
    </row>
    <row r="41" spans="1:7" x14ac:dyDescent="0.25">
      <c r="B41" s="93"/>
      <c r="E41" s="43"/>
      <c r="F41" s="116"/>
    </row>
    <row r="42" spans="1:7" x14ac:dyDescent="0.25">
      <c r="B42" s="93"/>
      <c r="E42" s="43"/>
      <c r="F42" s="116"/>
    </row>
    <row r="43" spans="1:7" x14ac:dyDescent="0.25">
      <c r="B43" s="93"/>
      <c r="E43" s="43"/>
      <c r="F43" s="116"/>
    </row>
    <row r="44" spans="1:7" x14ac:dyDescent="0.25">
      <c r="B44" s="93"/>
      <c r="E44" s="43"/>
      <c r="F44" s="116"/>
    </row>
    <row r="45" spans="1:7" x14ac:dyDescent="0.25">
      <c r="B45" s="93"/>
      <c r="E45" s="43"/>
      <c r="F45" s="116"/>
    </row>
    <row r="46" spans="1:7" x14ac:dyDescent="0.25">
      <c r="B46" s="93"/>
      <c r="E46" s="43"/>
      <c r="F46" s="116"/>
    </row>
    <row r="47" spans="1:7" x14ac:dyDescent="0.25">
      <c r="B47" s="93"/>
      <c r="E47" s="43"/>
      <c r="F47" s="116"/>
    </row>
    <row r="49" spans="2:7" x14ac:dyDescent="0.25">
      <c r="B49" s="93"/>
      <c r="C49" s="93"/>
      <c r="D49" s="115"/>
      <c r="E49" s="93"/>
      <c r="F49" s="115"/>
      <c r="G49" s="93"/>
    </row>
    <row r="50" spans="2:7" x14ac:dyDescent="0.25">
      <c r="B50" s="93"/>
      <c r="E50" s="43"/>
      <c r="F50" s="116"/>
    </row>
    <row r="51" spans="2:7" x14ac:dyDescent="0.25">
      <c r="B51" s="93"/>
      <c r="E51" s="43"/>
      <c r="F51" s="116"/>
    </row>
    <row r="52" spans="2:7" x14ac:dyDescent="0.25">
      <c r="B52" s="93"/>
      <c r="E52" s="43"/>
      <c r="F52" s="116"/>
    </row>
    <row r="53" spans="2:7" x14ac:dyDescent="0.25">
      <c r="B53" s="93"/>
      <c r="E53" s="43"/>
      <c r="F53" s="116"/>
    </row>
    <row r="54" spans="2:7" x14ac:dyDescent="0.25">
      <c r="B54" s="93"/>
      <c r="E54" s="43"/>
      <c r="F54" s="116"/>
    </row>
    <row r="55" spans="2:7" x14ac:dyDescent="0.25">
      <c r="B55" s="93"/>
      <c r="E55" s="43"/>
      <c r="F55" s="116"/>
    </row>
  </sheetData>
  <mergeCells count="3">
    <mergeCell ref="A15:F15"/>
    <mergeCell ref="A1:F1"/>
    <mergeCell ref="A26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5C49-2F2B-4871-A091-70F22E54F1CE}">
  <dimension ref="A1:Q37"/>
  <sheetViews>
    <sheetView workbookViewId="0">
      <selection activeCell="Q13" sqref="Q13"/>
    </sheetView>
  </sheetViews>
  <sheetFormatPr defaultRowHeight="13.8" x14ac:dyDescent="0.25"/>
  <cols>
    <col min="1" max="1" width="8.796875" style="1"/>
    <col min="2" max="2" width="11.59765625" style="1" customWidth="1"/>
    <col min="3" max="3" width="34" style="1" bestFit="1" customWidth="1"/>
    <col min="4" max="4" width="28.296875" style="1" bestFit="1" customWidth="1"/>
    <col min="5" max="5" width="8.09765625" style="1" hidden="1" customWidth="1"/>
    <col min="6" max="6" width="6.3984375" style="1" hidden="1" customWidth="1"/>
    <col min="7" max="7" width="13.5" style="1" hidden="1" customWidth="1"/>
    <col min="8" max="8" width="8.69921875" style="1" hidden="1" customWidth="1"/>
    <col min="9" max="9" width="12" style="1" hidden="1" customWidth="1"/>
    <col min="10" max="10" width="13.5" style="1" hidden="1" customWidth="1"/>
    <col min="11" max="11" width="14.09765625" style="1" hidden="1" customWidth="1"/>
    <col min="12" max="12" width="13.796875" style="1" hidden="1" customWidth="1"/>
    <col min="13" max="13" width="8.19921875" style="1" hidden="1" customWidth="1"/>
    <col min="14" max="14" width="10.19921875" style="1" bestFit="1" customWidth="1"/>
    <col min="15" max="15" width="8.796875" style="1"/>
    <col min="16" max="16" width="37.8984375" style="1" bestFit="1" customWidth="1"/>
    <col min="17" max="16384" width="8.796875" style="1"/>
  </cols>
  <sheetData>
    <row r="1" spans="1:17" x14ac:dyDescent="0.25">
      <c r="A1" s="1" t="s">
        <v>155</v>
      </c>
      <c r="B1" s="9" t="s">
        <v>25</v>
      </c>
      <c r="C1" s="9" t="s">
        <v>27</v>
      </c>
      <c r="D1" s="9" t="s">
        <v>17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7" x14ac:dyDescent="0.25">
      <c r="A2" s="1">
        <v>1</v>
      </c>
      <c r="B2" s="2">
        <v>12</v>
      </c>
      <c r="C2" s="1" t="s">
        <v>12</v>
      </c>
      <c r="D2" s="1" t="s">
        <v>21</v>
      </c>
      <c r="E2" s="3">
        <v>3177.5</v>
      </c>
      <c r="F2" s="3"/>
      <c r="G2" s="3">
        <v>430187.77</v>
      </c>
      <c r="H2" s="3">
        <v>0.04</v>
      </c>
      <c r="I2" s="3">
        <v>-166.79</v>
      </c>
      <c r="J2" s="3">
        <v>-121.16</v>
      </c>
      <c r="K2" s="3">
        <v>32439.31</v>
      </c>
      <c r="L2" s="3">
        <v>20.3</v>
      </c>
      <c r="M2" s="3">
        <v>5.8</v>
      </c>
    </row>
    <row r="3" spans="1:17" x14ac:dyDescent="0.25">
      <c r="A3" s="1">
        <v>2</v>
      </c>
      <c r="B3" s="2">
        <v>17</v>
      </c>
      <c r="C3" s="1" t="s">
        <v>41</v>
      </c>
      <c r="D3" s="1" t="s">
        <v>21</v>
      </c>
      <c r="E3" s="3">
        <v>1810.3</v>
      </c>
      <c r="F3" s="3">
        <v>32.18</v>
      </c>
      <c r="G3" s="3">
        <v>417108.53</v>
      </c>
      <c r="H3" s="3">
        <v>0.41</v>
      </c>
      <c r="I3" s="3">
        <v>3308.3</v>
      </c>
      <c r="J3" s="3">
        <v>11.43</v>
      </c>
      <c r="K3" s="3">
        <v>10737.56</v>
      </c>
      <c r="L3" s="3">
        <v>26.5</v>
      </c>
      <c r="M3" s="3">
        <v>14.12</v>
      </c>
    </row>
    <row r="4" spans="1:17" x14ac:dyDescent="0.25">
      <c r="A4" s="1">
        <v>3</v>
      </c>
      <c r="B4" s="2">
        <v>27</v>
      </c>
      <c r="C4" s="1" t="s">
        <v>32</v>
      </c>
      <c r="D4" s="1" t="s">
        <v>21</v>
      </c>
      <c r="E4" s="3">
        <v>8782.5</v>
      </c>
      <c r="F4" s="3">
        <v>64.569999999999993</v>
      </c>
      <c r="G4" s="3">
        <v>126271.02</v>
      </c>
      <c r="H4" s="3">
        <v>0.22</v>
      </c>
      <c r="I4" s="3">
        <v>551.29999999999995</v>
      </c>
      <c r="J4" s="3">
        <v>35.86</v>
      </c>
      <c r="K4" s="3">
        <v>6605.5</v>
      </c>
      <c r="L4" s="3">
        <v>18.12</v>
      </c>
      <c r="M4" s="3">
        <v>17.89</v>
      </c>
      <c r="O4" s="110" t="s">
        <v>104</v>
      </c>
      <c r="P4" s="110" t="s">
        <v>109</v>
      </c>
    </row>
    <row r="5" spans="1:17" x14ac:dyDescent="0.25">
      <c r="A5" s="1">
        <v>4</v>
      </c>
      <c r="B5" s="2">
        <v>38</v>
      </c>
      <c r="C5" s="1" t="s">
        <v>36</v>
      </c>
      <c r="D5" s="1" t="s">
        <v>21</v>
      </c>
      <c r="E5" s="3">
        <v>2652.1</v>
      </c>
      <c r="F5" s="3">
        <v>57.26</v>
      </c>
      <c r="G5" s="3">
        <v>254388.84</v>
      </c>
      <c r="H5" s="3">
        <v>1.04</v>
      </c>
      <c r="I5" s="3">
        <v>1185.49</v>
      </c>
      <c r="J5" s="3">
        <v>43.83</v>
      </c>
      <c r="K5" s="3">
        <v>9246.7000000000007</v>
      </c>
      <c r="L5" s="3">
        <v>10.62</v>
      </c>
      <c r="M5" s="3">
        <v>26.34</v>
      </c>
      <c r="O5" s="109">
        <v>0</v>
      </c>
      <c r="P5" s="109" t="s">
        <v>105</v>
      </c>
    </row>
    <row r="6" spans="1:17" x14ac:dyDescent="0.25">
      <c r="A6" s="1">
        <v>5</v>
      </c>
      <c r="B6" s="2">
        <v>45</v>
      </c>
      <c r="C6" s="1" t="s">
        <v>45</v>
      </c>
      <c r="D6" s="1" t="s">
        <v>21</v>
      </c>
      <c r="E6" s="3">
        <v>1319.4</v>
      </c>
      <c r="F6" s="3">
        <v>15.56</v>
      </c>
      <c r="G6" s="3">
        <v>410438.71</v>
      </c>
      <c r="H6" s="3">
        <v>0.08</v>
      </c>
      <c r="I6" s="3">
        <v>7642.08</v>
      </c>
      <c r="J6" s="3">
        <v>1.71</v>
      </c>
      <c r="K6" s="3">
        <v>34170.99</v>
      </c>
      <c r="L6" s="3">
        <v>5.3</v>
      </c>
      <c r="M6" s="3">
        <v>6.24</v>
      </c>
      <c r="O6" s="109">
        <v>1</v>
      </c>
      <c r="P6" s="109" t="s">
        <v>106</v>
      </c>
    </row>
    <row r="7" spans="1:17" x14ac:dyDescent="0.25">
      <c r="A7" s="1">
        <v>6</v>
      </c>
      <c r="B7" s="2">
        <v>8</v>
      </c>
      <c r="C7" s="1" t="s">
        <v>10</v>
      </c>
      <c r="D7" s="1" t="s">
        <v>24</v>
      </c>
      <c r="E7" s="3">
        <v>1022.6</v>
      </c>
      <c r="F7" s="3">
        <v>33.119999999999997</v>
      </c>
      <c r="G7" s="3">
        <v>636697.29</v>
      </c>
      <c r="H7" s="3">
        <v>0.53</v>
      </c>
      <c r="I7" s="3">
        <v>5553.3</v>
      </c>
      <c r="J7" s="3">
        <v>21.99</v>
      </c>
      <c r="K7" s="3">
        <v>21605.79</v>
      </c>
      <c r="L7" s="3">
        <v>18.100000000000001</v>
      </c>
      <c r="M7" s="3">
        <v>10.87</v>
      </c>
      <c r="O7" s="109">
        <v>2</v>
      </c>
      <c r="P7" s="109" t="s">
        <v>107</v>
      </c>
    </row>
    <row r="8" spans="1:17" x14ac:dyDescent="0.25">
      <c r="A8" s="1">
        <v>7</v>
      </c>
      <c r="B8" s="2">
        <v>21</v>
      </c>
      <c r="C8" s="1" t="s">
        <v>46</v>
      </c>
      <c r="D8" s="1" t="s">
        <v>22</v>
      </c>
      <c r="E8" s="3">
        <v>1908.1</v>
      </c>
      <c r="F8" s="3">
        <v>30.73</v>
      </c>
      <c r="G8" s="3">
        <v>305472.69</v>
      </c>
      <c r="H8" s="3">
        <v>0.08</v>
      </c>
      <c r="I8" s="3">
        <v>5226.26</v>
      </c>
      <c r="J8" s="3">
        <v>5.05</v>
      </c>
      <c r="K8" s="3">
        <v>38493.79</v>
      </c>
      <c r="L8" s="3">
        <v>5.19</v>
      </c>
      <c r="M8" s="3">
        <v>10.58</v>
      </c>
      <c r="O8" s="109">
        <v>3</v>
      </c>
      <c r="P8" s="109" t="s">
        <v>108</v>
      </c>
    </row>
    <row r="9" spans="1:17" x14ac:dyDescent="0.25">
      <c r="A9" s="1">
        <v>8</v>
      </c>
      <c r="B9" s="2">
        <v>36</v>
      </c>
      <c r="C9" s="1" t="s">
        <v>37</v>
      </c>
      <c r="D9" s="1" t="s">
        <v>22</v>
      </c>
      <c r="E9" s="3">
        <v>410.8</v>
      </c>
      <c r="F9" s="3">
        <v>49.53</v>
      </c>
      <c r="G9" s="3">
        <v>300249.52</v>
      </c>
      <c r="H9" s="3">
        <v>0.57999999999999996</v>
      </c>
      <c r="I9" s="3">
        <v>2226.35</v>
      </c>
      <c r="J9" s="3">
        <v>4.62</v>
      </c>
      <c r="K9" s="3">
        <v>10224.43</v>
      </c>
      <c r="L9" s="3">
        <v>11.75</v>
      </c>
      <c r="M9" s="3">
        <v>36.53</v>
      </c>
      <c r="O9" s="109"/>
      <c r="P9" s="109"/>
    </row>
    <row r="10" spans="1:17" x14ac:dyDescent="0.25">
      <c r="A10" s="1">
        <v>9</v>
      </c>
      <c r="B10" s="2">
        <v>2</v>
      </c>
      <c r="C10" s="1" t="s">
        <v>39</v>
      </c>
      <c r="D10" s="1" t="s">
        <v>20</v>
      </c>
      <c r="E10" s="3">
        <v>817.95</v>
      </c>
      <c r="F10" s="3">
        <v>16.68</v>
      </c>
      <c r="G10" s="3">
        <v>1260821.43</v>
      </c>
      <c r="H10" s="3">
        <v>1.59</v>
      </c>
      <c r="I10" s="3">
        <v>21074.22</v>
      </c>
      <c r="J10" s="3">
        <v>8.0500000000000007</v>
      </c>
      <c r="K10" s="3">
        <v>87182.5</v>
      </c>
      <c r="L10" s="3">
        <v>0.46</v>
      </c>
      <c r="M10" s="3">
        <v>7.02</v>
      </c>
      <c r="O10" s="109"/>
      <c r="P10" s="109"/>
    </row>
    <row r="11" spans="1:17" x14ac:dyDescent="0.25">
      <c r="A11" s="1">
        <v>10</v>
      </c>
      <c r="B11" s="2">
        <v>4</v>
      </c>
      <c r="C11" s="1" t="s">
        <v>9</v>
      </c>
      <c r="D11" s="1" t="s">
        <v>20</v>
      </c>
      <c r="E11" s="3">
        <v>2130.6</v>
      </c>
      <c r="F11" s="3">
        <v>32.9</v>
      </c>
      <c r="G11" s="3">
        <v>500906.71</v>
      </c>
      <c r="H11" s="3">
        <v>1.92</v>
      </c>
      <c r="I11" s="3">
        <v>2994</v>
      </c>
      <c r="J11" s="3">
        <v>8.6199999999999992</v>
      </c>
      <c r="K11" s="3">
        <v>16351</v>
      </c>
      <c r="L11" s="3">
        <v>7.64</v>
      </c>
      <c r="M11" s="3">
        <v>28.42</v>
      </c>
      <c r="O11" s="110" t="s">
        <v>104</v>
      </c>
      <c r="P11" s="110" t="s">
        <v>157</v>
      </c>
    </row>
    <row r="12" spans="1:17" x14ac:dyDescent="0.25">
      <c r="A12" s="1">
        <v>11</v>
      </c>
      <c r="B12" s="2">
        <v>5</v>
      </c>
      <c r="C12" s="1" t="s">
        <v>28</v>
      </c>
      <c r="D12" s="1" t="s">
        <v>20</v>
      </c>
      <c r="E12" s="3">
        <v>966.85</v>
      </c>
      <c r="F12" s="3">
        <v>12.88</v>
      </c>
      <c r="G12" s="3">
        <v>217351.73</v>
      </c>
      <c r="H12" s="3">
        <v>0.52</v>
      </c>
      <c r="I12" s="3">
        <v>2597</v>
      </c>
      <c r="J12" s="3">
        <v>-22.12</v>
      </c>
      <c r="K12" s="3">
        <v>78133</v>
      </c>
      <c r="L12" s="3">
        <v>20.41</v>
      </c>
      <c r="M12" s="3">
        <v>13.21</v>
      </c>
      <c r="O12" s="111"/>
      <c r="P12" s="109" t="s">
        <v>160</v>
      </c>
    </row>
    <row r="13" spans="1:17" x14ac:dyDescent="0.25">
      <c r="A13" s="1">
        <v>12</v>
      </c>
      <c r="B13" s="2">
        <v>15</v>
      </c>
      <c r="C13" s="1" t="s">
        <v>31</v>
      </c>
      <c r="D13" s="1" t="s">
        <v>20</v>
      </c>
      <c r="E13" s="3">
        <v>1409.5</v>
      </c>
      <c r="F13" s="3">
        <v>18.649999999999999</v>
      </c>
      <c r="G13" s="3">
        <v>1010974.29</v>
      </c>
      <c r="H13" s="3">
        <v>0.78</v>
      </c>
      <c r="I13" s="3">
        <v>15680.64</v>
      </c>
      <c r="J13" s="3">
        <v>9.2799999999999994</v>
      </c>
      <c r="K13" s="3">
        <v>49593.75</v>
      </c>
      <c r="L13" s="3">
        <v>2.4900000000000002</v>
      </c>
      <c r="M13" s="3">
        <v>7.2</v>
      </c>
      <c r="O13" s="112"/>
      <c r="P13" s="109" t="s">
        <v>159</v>
      </c>
      <c r="Q13" s="109" t="s">
        <v>165</v>
      </c>
    </row>
    <row r="14" spans="1:17" x14ac:dyDescent="0.25">
      <c r="A14" s="1">
        <v>13</v>
      </c>
      <c r="B14" s="2">
        <v>24</v>
      </c>
      <c r="C14" s="1" t="s">
        <v>33</v>
      </c>
      <c r="D14" s="1" t="s">
        <v>20</v>
      </c>
      <c r="E14" s="3">
        <v>5229.5</v>
      </c>
      <c r="F14" s="3"/>
      <c r="G14" s="3">
        <v>202243.47</v>
      </c>
      <c r="H14" s="3">
        <v>0.19</v>
      </c>
      <c r="I14" s="3">
        <v>-2662.1</v>
      </c>
      <c r="J14" s="3">
        <v>-179.32</v>
      </c>
      <c r="K14" s="3">
        <v>22438.400000000001</v>
      </c>
      <c r="L14" s="3">
        <v>1.29</v>
      </c>
      <c r="M14" s="3">
        <v>6.71</v>
      </c>
      <c r="O14" s="113"/>
      <c r="P14" s="109" t="s">
        <v>158</v>
      </c>
    </row>
    <row r="15" spans="1:17" x14ac:dyDescent="0.25">
      <c r="A15" s="1">
        <v>14</v>
      </c>
      <c r="B15" s="2">
        <v>10</v>
      </c>
      <c r="C15" s="1" t="s">
        <v>43</v>
      </c>
      <c r="D15" s="1" t="s">
        <v>19</v>
      </c>
      <c r="E15" s="3">
        <v>384.65</v>
      </c>
      <c r="F15" s="3">
        <v>20.11</v>
      </c>
      <c r="G15" s="3">
        <v>382397.63</v>
      </c>
      <c r="H15" s="3">
        <v>0.17</v>
      </c>
      <c r="I15" s="3">
        <v>5423.15</v>
      </c>
      <c r="J15" s="3">
        <v>4.53</v>
      </c>
      <c r="K15" s="3">
        <v>17827.36</v>
      </c>
      <c r="L15" s="3">
        <v>6.29</v>
      </c>
      <c r="M15" s="3">
        <v>6.93</v>
      </c>
      <c r="O15" s="114"/>
      <c r="P15" s="109" t="s">
        <v>166</v>
      </c>
    </row>
    <row r="16" spans="1:17" x14ac:dyDescent="0.25">
      <c r="A16" s="1">
        <v>15</v>
      </c>
      <c r="B16" s="2">
        <v>44</v>
      </c>
      <c r="C16" s="1" t="s">
        <v>30</v>
      </c>
      <c r="D16" s="1" t="s">
        <v>19</v>
      </c>
      <c r="E16" s="3">
        <v>3928.5</v>
      </c>
      <c r="F16" s="3">
        <v>32.93</v>
      </c>
      <c r="G16" s="3">
        <v>540352.5</v>
      </c>
      <c r="H16" s="3">
        <v>0.97</v>
      </c>
      <c r="I16" s="3">
        <v>6133.06</v>
      </c>
      <c r="J16" s="3">
        <v>2.11</v>
      </c>
      <c r="K16" s="3">
        <v>82762.16</v>
      </c>
      <c r="L16" s="3">
        <v>11.25</v>
      </c>
      <c r="M16" s="3">
        <v>14.57</v>
      </c>
    </row>
    <row r="17" spans="1:13" x14ac:dyDescent="0.25">
      <c r="A17" s="1">
        <v>16</v>
      </c>
      <c r="B17" s="2">
        <v>47</v>
      </c>
      <c r="C17" s="1" t="s">
        <v>34</v>
      </c>
      <c r="D17" s="1" t="s">
        <v>19</v>
      </c>
      <c r="E17" s="3">
        <v>3160.4</v>
      </c>
      <c r="F17" s="3">
        <v>22.72</v>
      </c>
      <c r="G17" s="3">
        <v>393036.25</v>
      </c>
      <c r="H17" s="3">
        <v>1.04</v>
      </c>
      <c r="I17" s="3">
        <v>5259.91</v>
      </c>
      <c r="J17" s="3">
        <v>48.85</v>
      </c>
      <c r="K17" s="3">
        <v>54981.91</v>
      </c>
      <c r="L17" s="3">
        <v>29.07</v>
      </c>
      <c r="M17" s="3">
        <v>15.1</v>
      </c>
    </row>
    <row r="18" spans="1:13" x14ac:dyDescent="0.25">
      <c r="A18" s="1">
        <v>17</v>
      </c>
      <c r="B18" s="2">
        <v>49</v>
      </c>
      <c r="C18" s="1" t="s">
        <v>42</v>
      </c>
      <c r="D18" s="1" t="s">
        <v>19</v>
      </c>
      <c r="E18" s="3">
        <v>13695</v>
      </c>
      <c r="F18" s="3">
        <v>29.32</v>
      </c>
      <c r="G18" s="3">
        <v>430411.22</v>
      </c>
      <c r="H18" s="3">
        <v>1.02</v>
      </c>
      <c r="I18" s="3">
        <v>3659</v>
      </c>
      <c r="J18" s="3">
        <v>-6.45</v>
      </c>
      <c r="K18" s="3">
        <v>52462.5</v>
      </c>
      <c r="L18" s="3">
        <v>28.21</v>
      </c>
      <c r="M18" s="3">
        <v>19.02</v>
      </c>
    </row>
    <row r="19" spans="1:13" x14ac:dyDescent="0.25">
      <c r="A19" s="1">
        <v>18</v>
      </c>
      <c r="B19" s="2">
        <v>50</v>
      </c>
      <c r="C19" s="1" t="s">
        <v>35</v>
      </c>
      <c r="D19" s="1" t="s">
        <v>19</v>
      </c>
      <c r="E19" s="3">
        <v>1106.2</v>
      </c>
      <c r="F19" s="3">
        <v>72.569999999999993</v>
      </c>
      <c r="G19" s="3">
        <v>107655.37</v>
      </c>
      <c r="H19" s="3">
        <v>0.18</v>
      </c>
      <c r="I19" s="3">
        <v>342.22</v>
      </c>
      <c r="J19" s="3">
        <v>7.28</v>
      </c>
      <c r="K19" s="3">
        <v>2142.89</v>
      </c>
      <c r="L19" s="3">
        <v>12.21</v>
      </c>
      <c r="M19" s="3">
        <v>14.71</v>
      </c>
    </row>
    <row r="20" spans="1:13" x14ac:dyDescent="0.25">
      <c r="A20" s="1">
        <v>19</v>
      </c>
      <c r="B20" s="2">
        <v>6</v>
      </c>
      <c r="C20" s="1" t="s">
        <v>44</v>
      </c>
      <c r="D20" s="1" t="s">
        <v>23</v>
      </c>
      <c r="E20" s="3">
        <v>1427</v>
      </c>
      <c r="F20" s="3">
        <v>79.709999999999994</v>
      </c>
      <c r="G20" s="3">
        <v>274896.53999999998</v>
      </c>
      <c r="H20" s="3">
        <v>0.84</v>
      </c>
      <c r="I20" s="3">
        <v>1114.1099999999999</v>
      </c>
      <c r="J20" s="3">
        <v>28.84</v>
      </c>
      <c r="K20" s="3">
        <v>6747.79</v>
      </c>
      <c r="L20" s="3">
        <v>22.6</v>
      </c>
      <c r="M20" s="3">
        <v>84.14</v>
      </c>
    </row>
    <row r="21" spans="1:13" x14ac:dyDescent="0.25">
      <c r="A21" s="1">
        <v>20</v>
      </c>
      <c r="B21" s="2">
        <v>11</v>
      </c>
      <c r="C21" s="1" t="s">
        <v>11</v>
      </c>
      <c r="D21" s="1" t="s">
        <v>23</v>
      </c>
      <c r="E21" s="3">
        <v>351.75</v>
      </c>
      <c r="F21" s="3">
        <v>12.61</v>
      </c>
      <c r="G21" s="3">
        <v>341129.73</v>
      </c>
      <c r="H21" s="3">
        <v>2.37</v>
      </c>
      <c r="I21" s="3">
        <v>10614.95</v>
      </c>
      <c r="J21" s="3">
        <v>37.78</v>
      </c>
      <c r="K21" s="3">
        <v>49687.77</v>
      </c>
      <c r="L21" s="3">
        <v>-0.28999999999999998</v>
      </c>
      <c r="M21" s="3">
        <v>8.33</v>
      </c>
    </row>
    <row r="22" spans="1:13" x14ac:dyDescent="0.25">
      <c r="A22" s="1">
        <v>21</v>
      </c>
      <c r="B22" s="2">
        <v>22</v>
      </c>
      <c r="C22" s="1" t="s">
        <v>38</v>
      </c>
      <c r="D22" s="1" t="s">
        <v>23</v>
      </c>
      <c r="E22" s="3">
        <v>248.45</v>
      </c>
      <c r="F22" s="3">
        <v>7.5</v>
      </c>
      <c r="G22" s="3">
        <v>312506.01</v>
      </c>
      <c r="H22" s="3">
        <v>4.93</v>
      </c>
      <c r="I22" s="3">
        <v>13677.87</v>
      </c>
      <c r="J22" s="3">
        <v>47.8</v>
      </c>
      <c r="K22" s="3">
        <v>173805.19</v>
      </c>
      <c r="L22" s="3">
        <v>3.61</v>
      </c>
      <c r="M22" s="3">
        <v>14.15</v>
      </c>
    </row>
    <row r="23" spans="1:13" x14ac:dyDescent="0.25">
      <c r="A23" s="1">
        <v>22</v>
      </c>
      <c r="B23" s="2">
        <v>40</v>
      </c>
      <c r="C23" s="1" t="s">
        <v>15</v>
      </c>
      <c r="D23" s="1" t="s">
        <v>23</v>
      </c>
      <c r="E23" s="3">
        <v>286</v>
      </c>
      <c r="F23" s="3">
        <v>16.690000000000001</v>
      </c>
      <c r="G23" s="3">
        <v>265903.34000000003</v>
      </c>
      <c r="H23" s="3">
        <v>3.15</v>
      </c>
      <c r="I23" s="3">
        <v>4546.33</v>
      </c>
      <c r="J23" s="3">
        <v>9.74</v>
      </c>
      <c r="K23" s="3">
        <v>11665.61</v>
      </c>
      <c r="L23" s="3">
        <v>-4.97</v>
      </c>
      <c r="M23" s="3">
        <v>9.74</v>
      </c>
    </row>
    <row r="24" spans="1:13" x14ac:dyDescent="0.25">
      <c r="A24" s="1">
        <v>23</v>
      </c>
      <c r="B24" s="2">
        <v>43</v>
      </c>
      <c r="C24" s="1" t="s">
        <v>16</v>
      </c>
      <c r="D24" s="1" t="s">
        <v>23</v>
      </c>
      <c r="E24" s="3">
        <v>1296.9000000000001</v>
      </c>
      <c r="F24" s="3">
        <v>22.52</v>
      </c>
      <c r="G24" s="3">
        <v>1753626.52</v>
      </c>
      <c r="H24" s="3">
        <v>0.46</v>
      </c>
      <c r="I24" s="3">
        <v>20589</v>
      </c>
      <c r="J24" s="3">
        <v>-12.55</v>
      </c>
      <c r="K24" s="3">
        <v>294059</v>
      </c>
      <c r="L24" s="3">
        <v>12.5</v>
      </c>
      <c r="M24" s="3">
        <v>10.26</v>
      </c>
    </row>
    <row r="25" spans="1:13" x14ac:dyDescent="0.25">
      <c r="A25" s="1">
        <v>24</v>
      </c>
      <c r="B25" s="2">
        <v>13</v>
      </c>
      <c r="C25" s="1" t="s">
        <v>29</v>
      </c>
      <c r="D25" s="1" t="s">
        <v>18</v>
      </c>
      <c r="E25" s="3">
        <v>1037</v>
      </c>
      <c r="F25" s="3">
        <v>11.49</v>
      </c>
      <c r="G25" s="3">
        <v>957076.47</v>
      </c>
      <c r="H25" s="3">
        <v>1.67</v>
      </c>
      <c r="I25" s="3">
        <v>20507.98</v>
      </c>
      <c r="J25" s="3">
        <v>0.22</v>
      </c>
      <c r="K25" s="3">
        <v>131080.12</v>
      </c>
      <c r="L25" s="3">
        <v>3.34</v>
      </c>
      <c r="M25" s="3">
        <v>6.13</v>
      </c>
    </row>
    <row r="26" spans="1:13" x14ac:dyDescent="0.25">
      <c r="A26" s="1">
        <v>25</v>
      </c>
      <c r="B26" s="2">
        <v>25</v>
      </c>
      <c r="C26" s="1" t="s">
        <v>13</v>
      </c>
      <c r="D26" s="1" t="s">
        <v>18</v>
      </c>
      <c r="E26" s="3">
        <v>1048.0999999999999</v>
      </c>
      <c r="F26" s="3">
        <v>24.58</v>
      </c>
      <c r="G26" s="3">
        <v>246541.69</v>
      </c>
      <c r="H26" s="3">
        <v>1.03</v>
      </c>
      <c r="I26" s="3">
        <v>3020.95</v>
      </c>
      <c r="J26" s="3">
        <v>40.94</v>
      </c>
      <c r="K26" s="3">
        <v>12513.43</v>
      </c>
      <c r="L26" s="3">
        <v>9.25</v>
      </c>
      <c r="M26" s="3">
        <v>11.49</v>
      </c>
    </row>
    <row r="27" spans="1:13" x14ac:dyDescent="0.25">
      <c r="A27" s="1">
        <v>26</v>
      </c>
      <c r="B27" s="2">
        <v>34</v>
      </c>
      <c r="C27" s="48" t="s">
        <v>14</v>
      </c>
      <c r="D27" s="1" t="s">
        <v>18</v>
      </c>
      <c r="E27" s="3">
        <v>1921.4</v>
      </c>
      <c r="F27" s="3">
        <v>37.1</v>
      </c>
      <c r="G27" s="3">
        <v>461067.77</v>
      </c>
      <c r="H27" s="3">
        <v>0.83</v>
      </c>
      <c r="I27" s="3">
        <v>2709.66</v>
      </c>
      <c r="J27" s="3">
        <v>13.58</v>
      </c>
      <c r="K27" s="3">
        <v>14611.79</v>
      </c>
      <c r="L27" s="3">
        <v>12.76</v>
      </c>
      <c r="M27" s="3">
        <v>20.53</v>
      </c>
    </row>
    <row r="28" spans="1:13" x14ac:dyDescent="0.25">
      <c r="A28" s="1">
        <v>27</v>
      </c>
      <c r="B28" s="49">
        <v>35</v>
      </c>
      <c r="C28" s="50" t="s">
        <v>40</v>
      </c>
      <c r="D28" s="51" t="s">
        <v>18</v>
      </c>
      <c r="E28" s="3">
        <v>1098.5999999999999</v>
      </c>
      <c r="F28" s="3">
        <v>70.790000000000006</v>
      </c>
      <c r="G28" s="3">
        <v>108723.16</v>
      </c>
      <c r="H28" s="3">
        <v>0.91</v>
      </c>
      <c r="I28" s="3">
        <v>424.02</v>
      </c>
      <c r="J28" s="3">
        <v>34.33</v>
      </c>
      <c r="K28" s="3">
        <v>5433.62</v>
      </c>
      <c r="L28" s="3">
        <v>17.91</v>
      </c>
      <c r="M28" s="3">
        <v>9.24</v>
      </c>
    </row>
    <row r="29" spans="1:13" x14ac:dyDescent="0.25">
      <c r="B29" s="2"/>
      <c r="C29" s="52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B30" s="2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B31" s="2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5">
      <c r="B32" s="2"/>
      <c r="E32" s="3"/>
      <c r="F32" s="3"/>
      <c r="G32" s="3"/>
      <c r="H32" s="3"/>
      <c r="I32" s="3"/>
      <c r="J32" s="3"/>
      <c r="K32" s="3"/>
      <c r="L32" s="3"/>
      <c r="M32" s="3"/>
    </row>
    <row r="33" spans="2:13" x14ac:dyDescent="0.25">
      <c r="B33" s="2"/>
      <c r="E33" s="3"/>
      <c r="F33" s="3"/>
      <c r="G33" s="3"/>
      <c r="H33" s="3"/>
      <c r="I33" s="3"/>
      <c r="J33" s="3"/>
      <c r="K33" s="3"/>
      <c r="L33" s="3"/>
      <c r="M33" s="3"/>
    </row>
    <row r="34" spans="2:13" x14ac:dyDescent="0.25">
      <c r="B34" s="2"/>
      <c r="E34" s="3"/>
      <c r="F34" s="3"/>
      <c r="G34" s="3"/>
      <c r="H34" s="3"/>
      <c r="I34" s="3"/>
      <c r="J34" s="3"/>
      <c r="K34" s="3"/>
      <c r="L34" s="3"/>
      <c r="M34" s="3"/>
    </row>
    <row r="35" spans="2:13" x14ac:dyDescent="0.25">
      <c r="B35" s="2"/>
      <c r="E35" s="3"/>
      <c r="F35" s="3"/>
      <c r="G35" s="3"/>
      <c r="H35" s="3"/>
      <c r="I35" s="3"/>
      <c r="J35" s="3"/>
      <c r="K35" s="3"/>
      <c r="L35" s="3"/>
      <c r="M35" s="3"/>
    </row>
    <row r="36" spans="2:13" x14ac:dyDescent="0.25">
      <c r="B36" s="2"/>
      <c r="E36" s="3"/>
      <c r="F36" s="3"/>
      <c r="G36" s="3"/>
      <c r="H36" s="3"/>
      <c r="I36" s="3"/>
      <c r="J36" s="3"/>
      <c r="K36" s="3"/>
      <c r="L36" s="3"/>
      <c r="M36" s="3"/>
    </row>
    <row r="37" spans="2:13" x14ac:dyDescent="0.25">
      <c r="B37" s="10"/>
      <c r="C37" s="11"/>
      <c r="D37" s="11"/>
      <c r="E37" s="4"/>
      <c r="F37" s="4"/>
      <c r="G37" s="4"/>
      <c r="H37" s="4"/>
      <c r="I37" s="4"/>
      <c r="J37" s="4"/>
      <c r="K37" s="4"/>
      <c r="L37" s="4"/>
      <c r="M37" s="4"/>
    </row>
  </sheetData>
  <phoneticPr fontId="10" type="noConversion"/>
  <conditionalFormatting sqref="O12">
    <cfRule type="cellIs" dxfId="57" priority="1" operator="between">
      <formula>2</formula>
      <formula>2.8</formula>
    </cfRule>
    <cfRule type="cellIs" dxfId="56" priority="2" operator="greaterThan">
      <formula>2.8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2197-80D6-4D6F-BDB9-C78FF222211C}">
  <dimension ref="A1:EC35"/>
  <sheetViews>
    <sheetView tabSelected="1" zoomScale="70" zoomScaleNormal="70" workbookViewId="0">
      <selection activeCell="AF14" sqref="AF14"/>
    </sheetView>
  </sheetViews>
  <sheetFormatPr defaultRowHeight="13.8" x14ac:dyDescent="0.25"/>
  <cols>
    <col min="1" max="1" width="28.3984375" bestFit="1" customWidth="1"/>
    <col min="2" max="2" width="11.09765625" customWidth="1"/>
    <col min="3" max="3" width="10.69921875" bestFit="1" customWidth="1"/>
    <col min="4" max="4" width="9.69921875" bestFit="1" customWidth="1"/>
    <col min="5" max="5" width="12.69921875" bestFit="1" customWidth="1"/>
    <col min="6" max="6" width="11.69921875" bestFit="1" customWidth="1"/>
    <col min="7" max="7" width="13" bestFit="1" customWidth="1"/>
    <col min="8" max="8" width="11.09765625" customWidth="1"/>
    <col min="9" max="9" width="11.19921875" bestFit="1" customWidth="1"/>
    <col min="10" max="10" width="11.8984375" customWidth="1"/>
    <col min="11" max="11" width="10.296875" customWidth="1"/>
    <col min="12" max="12" width="13.5" customWidth="1"/>
    <col min="13" max="13" width="12.19921875" customWidth="1"/>
    <col min="14" max="14" width="10.3984375" bestFit="1" customWidth="1"/>
    <col min="15" max="18" width="3" bestFit="1" customWidth="1"/>
    <col min="19" max="19" width="28.796875" bestFit="1" customWidth="1"/>
    <col min="20" max="20" width="15.19921875" bestFit="1" customWidth="1"/>
    <col min="21" max="21" width="10.5" bestFit="1" customWidth="1"/>
    <col min="22" max="22" width="14.8984375" bestFit="1" customWidth="1"/>
    <col min="23" max="23" width="8.8984375" customWidth="1"/>
    <col min="24" max="24" width="1.8984375" customWidth="1"/>
    <col min="25" max="25" width="5.3984375" customWidth="1"/>
    <col min="26" max="26" width="6.59765625" customWidth="1"/>
    <col min="27" max="27" width="6.09765625" customWidth="1"/>
    <col min="28" max="28" width="5" bestFit="1" customWidth="1"/>
    <col min="29" max="31" width="3" bestFit="1" customWidth="1"/>
    <col min="32" max="32" width="8.796875" customWidth="1"/>
    <col min="33" max="41" width="3" bestFit="1" customWidth="1"/>
    <col min="42" max="42" width="8.69921875" bestFit="1" customWidth="1"/>
    <col min="43" max="51" width="3" bestFit="1" customWidth="1"/>
    <col min="52" max="52" width="8.5" bestFit="1" customWidth="1"/>
    <col min="53" max="53" width="3" bestFit="1" customWidth="1"/>
    <col min="54" max="54" width="5" bestFit="1" customWidth="1"/>
    <col min="55" max="55" width="12" bestFit="1" customWidth="1"/>
    <col min="56" max="59" width="3" bestFit="1" customWidth="1"/>
    <col min="60" max="60" width="4" bestFit="1" customWidth="1"/>
    <col min="61" max="61" width="3" bestFit="1" customWidth="1"/>
    <col min="62" max="62" width="8.3984375" bestFit="1" customWidth="1"/>
    <col min="63" max="63" width="3" bestFit="1" customWidth="1"/>
    <col min="64" max="64" width="5" bestFit="1" customWidth="1"/>
    <col min="65" max="65" width="12" bestFit="1" customWidth="1"/>
    <col min="66" max="71" width="3" bestFit="1" customWidth="1"/>
    <col min="72" max="72" width="8.19921875" bestFit="1" customWidth="1"/>
    <col min="73" max="73" width="3" bestFit="1" customWidth="1"/>
    <col min="74" max="74" width="5" bestFit="1" customWidth="1"/>
    <col min="75" max="75" width="12" bestFit="1" customWidth="1"/>
    <col min="76" max="77" width="3" bestFit="1" customWidth="1"/>
    <col min="78" max="78" width="5" bestFit="1" customWidth="1"/>
    <col min="79" max="81" width="3" bestFit="1" customWidth="1"/>
    <col min="82" max="82" width="8.3984375" bestFit="1" customWidth="1"/>
    <col min="83" max="84" width="3" bestFit="1" customWidth="1"/>
    <col min="85" max="85" width="12" bestFit="1" customWidth="1"/>
    <col min="86" max="91" width="3" bestFit="1" customWidth="1"/>
    <col min="92" max="92" width="8.3984375" bestFit="1" customWidth="1"/>
    <col min="93" max="93" width="3" bestFit="1" customWidth="1"/>
    <col min="94" max="94" width="5" bestFit="1" customWidth="1"/>
    <col min="95" max="97" width="3" bestFit="1" customWidth="1"/>
    <col min="98" max="98" width="4" bestFit="1" customWidth="1"/>
    <col min="99" max="99" width="3" bestFit="1" customWidth="1"/>
    <col min="100" max="100" width="4" bestFit="1" customWidth="1"/>
    <col min="101" max="101" width="3" bestFit="1" customWidth="1"/>
    <col min="102" max="102" width="9.09765625" bestFit="1" customWidth="1"/>
    <col min="103" max="111" width="3" bestFit="1" customWidth="1"/>
    <col min="113" max="121" width="3" bestFit="1" customWidth="1"/>
    <col min="122" max="124" width="24.5" bestFit="1" customWidth="1"/>
    <col min="125" max="125" width="20.796875" bestFit="1" customWidth="1"/>
    <col min="126" max="126" width="27.5" bestFit="1" customWidth="1"/>
    <col min="127" max="127" width="23" bestFit="1" customWidth="1"/>
    <col min="128" max="128" width="22.19921875" bestFit="1" customWidth="1"/>
    <col min="129" max="129" width="18.69921875" bestFit="1" customWidth="1"/>
    <col min="130" max="130" width="20.19921875" bestFit="1" customWidth="1"/>
    <col min="131" max="131" width="22" bestFit="1" customWidth="1"/>
    <col min="132" max="132" width="41" bestFit="1" customWidth="1"/>
    <col min="133" max="133" width="20.796875" bestFit="1" customWidth="1"/>
  </cols>
  <sheetData>
    <row r="1" spans="1:133" ht="16.2" thickBot="1" x14ac:dyDescent="0.3">
      <c r="A1" s="157" t="s">
        <v>154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</row>
    <row r="2" spans="1:133" ht="14.4" thickBot="1" x14ac:dyDescent="0.3">
      <c r="A2" s="122"/>
      <c r="B2" s="159" t="s">
        <v>141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</row>
    <row r="3" spans="1:133" s="43" customFormat="1" ht="52.8" x14ac:dyDescent="0.25">
      <c r="A3" s="46" t="s">
        <v>17</v>
      </c>
      <c r="B3" s="47" t="s">
        <v>142</v>
      </c>
      <c r="C3" s="47" t="s">
        <v>143</v>
      </c>
      <c r="D3" s="47" t="s">
        <v>144</v>
      </c>
      <c r="E3" s="47" t="s">
        <v>145</v>
      </c>
      <c r="F3" s="47" t="s">
        <v>146</v>
      </c>
      <c r="G3" s="47" t="s">
        <v>147</v>
      </c>
      <c r="H3" s="47" t="s">
        <v>148</v>
      </c>
      <c r="I3" s="47" t="s">
        <v>149</v>
      </c>
      <c r="J3" s="47" t="s">
        <v>150</v>
      </c>
      <c r="K3" s="47" t="s">
        <v>151</v>
      </c>
      <c r="L3" s="47" t="s">
        <v>152</v>
      </c>
      <c r="M3" s="47" t="s">
        <v>153</v>
      </c>
      <c r="N3" s="8" t="s">
        <v>230</v>
      </c>
      <c r="O3"/>
      <c r="P3"/>
      <c r="Q3"/>
      <c r="R3"/>
      <c r="S3" s="59" t="s">
        <v>17</v>
      </c>
      <c r="T3" s="59" t="s">
        <v>231</v>
      </c>
      <c r="U3" s="59" t="s">
        <v>232</v>
      </c>
      <c r="V3" s="59" t="s">
        <v>234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 spans="1:133" s="8" customFormat="1" x14ac:dyDescent="0.25">
      <c r="A4" s="89" t="s">
        <v>21</v>
      </c>
      <c r="B4" s="121">
        <v>3</v>
      </c>
      <c r="C4" s="121">
        <v>3</v>
      </c>
      <c r="D4" s="121">
        <v>2.25</v>
      </c>
      <c r="E4" s="121">
        <v>3</v>
      </c>
      <c r="F4" s="121">
        <v>3</v>
      </c>
      <c r="G4" s="121">
        <v>3</v>
      </c>
      <c r="H4" s="121">
        <v>2.8</v>
      </c>
      <c r="I4" s="121">
        <v>2.4</v>
      </c>
      <c r="J4" s="121">
        <v>3</v>
      </c>
      <c r="K4" s="121">
        <v>1.2</v>
      </c>
      <c r="L4" s="121">
        <v>3</v>
      </c>
      <c r="M4" s="121">
        <v>3</v>
      </c>
      <c r="N4" s="134">
        <v>2.7257575757575756</v>
      </c>
      <c r="O4"/>
      <c r="P4"/>
      <c r="Q4"/>
      <c r="R4"/>
      <c r="S4" s="141" t="s">
        <v>21</v>
      </c>
      <c r="T4" s="142">
        <v>2.7257575757575756</v>
      </c>
      <c r="U4" s="135">
        <v>1.9555555555555557</v>
      </c>
      <c r="V4" s="135">
        <v>1.7428571428571431</v>
      </c>
      <c r="W4" s="82">
        <f>AVERAGE(T4:V4)</f>
        <v>2.1413900913900914</v>
      </c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 spans="1:133" s="8" customFormat="1" x14ac:dyDescent="0.25">
      <c r="A5" s="90" t="s">
        <v>124</v>
      </c>
      <c r="B5" s="121">
        <v>3</v>
      </c>
      <c r="C5" s="121">
        <v>3</v>
      </c>
      <c r="D5" s="121">
        <v>2</v>
      </c>
      <c r="E5" s="121">
        <v>3</v>
      </c>
      <c r="F5" s="121">
        <v>3</v>
      </c>
      <c r="G5" s="121">
        <v>3</v>
      </c>
      <c r="H5" s="91">
        <v>2.6666666666666665</v>
      </c>
      <c r="I5" s="121">
        <v>3</v>
      </c>
      <c r="J5" s="121">
        <v>3</v>
      </c>
      <c r="K5" s="121">
        <v>1</v>
      </c>
      <c r="L5" s="121">
        <v>3</v>
      </c>
      <c r="M5" s="121">
        <v>3</v>
      </c>
      <c r="N5" s="134">
        <v>2.7222222222222228</v>
      </c>
      <c r="O5"/>
      <c r="P5"/>
      <c r="Q5"/>
      <c r="R5"/>
      <c r="S5" s="143" t="s">
        <v>124</v>
      </c>
      <c r="T5" s="142">
        <v>2.7222222222222228</v>
      </c>
      <c r="U5" s="136">
        <v>1.8518518518518519</v>
      </c>
      <c r="V5" s="136">
        <v>1.6666666666666667</v>
      </c>
      <c r="W5" s="82">
        <f t="shared" ref="W5:W10" si="0">AVERAGE(T5:V5)</f>
        <v>2.0802469135802473</v>
      </c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 spans="1:133" s="8" customFormat="1" x14ac:dyDescent="0.25">
      <c r="A6" s="90" t="s">
        <v>20</v>
      </c>
      <c r="B6" s="121">
        <v>3</v>
      </c>
      <c r="C6" s="121">
        <v>3</v>
      </c>
      <c r="D6" s="121">
        <v>2.4</v>
      </c>
      <c r="E6" s="121">
        <v>3</v>
      </c>
      <c r="F6" s="121">
        <v>3</v>
      </c>
      <c r="G6" s="121">
        <v>2.8</v>
      </c>
      <c r="H6" s="121">
        <v>2.6</v>
      </c>
      <c r="I6" s="121">
        <v>2</v>
      </c>
      <c r="J6" s="121">
        <v>2.8</v>
      </c>
      <c r="K6" s="121">
        <v>0.4</v>
      </c>
      <c r="L6" s="121">
        <v>3</v>
      </c>
      <c r="M6" s="121">
        <v>3</v>
      </c>
      <c r="N6" s="134">
        <v>2.583333333333333</v>
      </c>
      <c r="O6"/>
      <c r="P6"/>
      <c r="Q6"/>
      <c r="R6"/>
      <c r="S6" s="143" t="s">
        <v>20</v>
      </c>
      <c r="T6" s="142">
        <v>2.583333333333333</v>
      </c>
      <c r="U6" s="136">
        <v>2.0095238095238095</v>
      </c>
      <c r="V6" s="136">
        <v>2</v>
      </c>
      <c r="W6" s="82">
        <f t="shared" si="0"/>
        <v>2.1976190476190474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 spans="1:133" s="8" customFormat="1" x14ac:dyDescent="0.25">
      <c r="A7" s="90" t="s">
        <v>19</v>
      </c>
      <c r="B7" s="121">
        <v>3</v>
      </c>
      <c r="C7" s="121">
        <v>3</v>
      </c>
      <c r="D7" s="121">
        <v>2</v>
      </c>
      <c r="E7" s="121">
        <v>3</v>
      </c>
      <c r="F7" s="121">
        <v>3</v>
      </c>
      <c r="G7" s="121">
        <v>3</v>
      </c>
      <c r="H7" s="121">
        <v>3</v>
      </c>
      <c r="I7" s="121">
        <v>2</v>
      </c>
      <c r="J7" s="121">
        <v>3</v>
      </c>
      <c r="K7" s="121">
        <v>1.8</v>
      </c>
      <c r="L7" s="121">
        <v>3</v>
      </c>
      <c r="M7" s="121">
        <v>3</v>
      </c>
      <c r="N7" s="134">
        <v>2.7333333333333334</v>
      </c>
      <c r="O7"/>
      <c r="P7"/>
      <c r="Q7"/>
      <c r="R7"/>
      <c r="S7" s="143" t="s">
        <v>19</v>
      </c>
      <c r="T7" s="142">
        <v>2.7333333333333334</v>
      </c>
      <c r="U7" s="136">
        <v>2.1555555555555559</v>
      </c>
      <c r="V7" s="136">
        <v>2.1428571428571432</v>
      </c>
      <c r="W7" s="82">
        <f t="shared" si="0"/>
        <v>2.3439153439153442</v>
      </c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 spans="1:133" s="8" customFormat="1" x14ac:dyDescent="0.25">
      <c r="A8" s="90" t="s">
        <v>23</v>
      </c>
      <c r="B8" s="121">
        <v>3</v>
      </c>
      <c r="C8" s="121">
        <v>3</v>
      </c>
      <c r="D8" s="121">
        <v>2.4</v>
      </c>
      <c r="E8" s="121">
        <v>3</v>
      </c>
      <c r="F8" s="121">
        <v>3</v>
      </c>
      <c r="G8" s="121">
        <v>3</v>
      </c>
      <c r="H8" s="121">
        <v>3</v>
      </c>
      <c r="I8" s="121">
        <v>3</v>
      </c>
      <c r="J8" s="121">
        <v>3</v>
      </c>
      <c r="K8" s="121">
        <v>2.2000000000000002</v>
      </c>
      <c r="L8" s="121">
        <v>3</v>
      </c>
      <c r="M8" s="121">
        <v>3</v>
      </c>
      <c r="N8" s="134">
        <v>2.8833333333333333</v>
      </c>
      <c r="O8"/>
      <c r="P8"/>
      <c r="Q8"/>
      <c r="R8"/>
      <c r="S8" s="143" t="s">
        <v>23</v>
      </c>
      <c r="T8" s="142">
        <v>2.8833333333333333</v>
      </c>
      <c r="U8" s="136">
        <v>2.2666666666666666</v>
      </c>
      <c r="V8" s="136">
        <v>1.8285714285714287</v>
      </c>
      <c r="W8" s="82">
        <f t="shared" si="0"/>
        <v>2.3261904761904764</v>
      </c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 spans="1:133" s="8" customFormat="1" ht="14.4" thickBot="1" x14ac:dyDescent="0.3">
      <c r="A9" s="90" t="s">
        <v>18</v>
      </c>
      <c r="B9" s="121">
        <v>3</v>
      </c>
      <c r="C9" s="121">
        <v>3</v>
      </c>
      <c r="D9" s="121">
        <v>2.25</v>
      </c>
      <c r="E9" s="121">
        <v>3</v>
      </c>
      <c r="F9" s="121">
        <v>3</v>
      </c>
      <c r="G9" s="121">
        <v>2.5</v>
      </c>
      <c r="H9" s="121">
        <v>3</v>
      </c>
      <c r="I9" s="121">
        <v>2.75</v>
      </c>
      <c r="J9" s="121">
        <v>3</v>
      </c>
      <c r="K9" s="121">
        <v>2</v>
      </c>
      <c r="L9" s="121">
        <v>3</v>
      </c>
      <c r="M9" s="121">
        <v>3</v>
      </c>
      <c r="N9" s="134">
        <v>2.7916666666666665</v>
      </c>
      <c r="O9"/>
      <c r="P9"/>
      <c r="Q9"/>
      <c r="R9"/>
      <c r="S9" s="143" t="s">
        <v>18</v>
      </c>
      <c r="T9" s="142">
        <v>2.7916666666666665</v>
      </c>
      <c r="U9" s="136">
        <v>2.1666666666666665</v>
      </c>
      <c r="V9" s="136">
        <v>2</v>
      </c>
      <c r="W9" s="82">
        <f t="shared" si="0"/>
        <v>2.3194444444444442</v>
      </c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 spans="1:133" s="8" customFormat="1" ht="14.4" thickBot="1" x14ac:dyDescent="0.3">
      <c r="A10" s="120" t="s">
        <v>140</v>
      </c>
      <c r="B10" s="8">
        <v>3</v>
      </c>
      <c r="C10" s="8">
        <v>3</v>
      </c>
      <c r="D10" s="44">
        <v>2.2307692307692308</v>
      </c>
      <c r="E10" s="8">
        <v>3</v>
      </c>
      <c r="F10" s="8">
        <v>3</v>
      </c>
      <c r="G10" s="44">
        <v>2.8888888888888888</v>
      </c>
      <c r="H10" s="44">
        <v>2.8518518518518516</v>
      </c>
      <c r="I10" s="44">
        <v>2.4814814814814814</v>
      </c>
      <c r="J10" s="44">
        <v>2.9629629629629628</v>
      </c>
      <c r="K10" s="44">
        <v>1.4444444444444444</v>
      </c>
      <c r="L10" s="8">
        <v>3</v>
      </c>
      <c r="M10" s="8">
        <v>3</v>
      </c>
      <c r="N10" s="44">
        <v>2.7393378226711564</v>
      </c>
      <c r="O10"/>
      <c r="P10"/>
      <c r="Q10"/>
      <c r="R10"/>
      <c r="T10" s="140">
        <v>2.7393378226711564</v>
      </c>
      <c r="U10" s="130">
        <v>2.0799529688418579</v>
      </c>
      <c r="V10" s="130">
        <v>1.9100529100529096</v>
      </c>
      <c r="W10" s="82">
        <f t="shared" si="0"/>
        <v>2.2431145671886412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 spans="1:133" s="8" customFormat="1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 spans="1:133" s="8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 spans="1:133" s="8" customFormat="1" ht="15.6" x14ac:dyDescent="0.3">
      <c r="A13" s="160" t="s">
        <v>176</v>
      </c>
      <c r="B13" s="161"/>
      <c r="C13" s="161"/>
      <c r="D13" s="161"/>
      <c r="E13" s="161"/>
      <c r="F13" s="161"/>
      <c r="G13" s="161"/>
      <c r="H13" s="161"/>
      <c r="I13" s="161"/>
      <c r="J13" s="161"/>
      <c r="K13" s="44"/>
      <c r="S13"/>
      <c r="U13"/>
      <c r="V13"/>
      <c r="W13" s="13"/>
      <c r="X13"/>
      <c r="Y13"/>
    </row>
    <row r="14" spans="1:133" x14ac:dyDescent="0.25">
      <c r="A14" s="87"/>
      <c r="B14" s="162" t="s">
        <v>141</v>
      </c>
      <c r="C14" s="162"/>
      <c r="D14" s="162"/>
      <c r="E14" s="162"/>
      <c r="F14" s="162"/>
      <c r="G14" s="162"/>
      <c r="H14" s="162"/>
      <c r="I14" s="162"/>
      <c r="J14" s="162"/>
      <c r="K14" s="66"/>
      <c r="L14" s="66"/>
      <c r="M14" s="66"/>
      <c r="S14" s="13"/>
      <c r="T14" s="118" t="s">
        <v>139</v>
      </c>
      <c r="U14" t="s">
        <v>235</v>
      </c>
      <c r="V14" t="s">
        <v>237</v>
      </c>
      <c r="W14" t="s">
        <v>236</v>
      </c>
    </row>
    <row r="15" spans="1:133" s="13" customFormat="1" ht="52.8" x14ac:dyDescent="0.25">
      <c r="A15" s="137" t="s">
        <v>17</v>
      </c>
      <c r="B15" s="137" t="s">
        <v>167</v>
      </c>
      <c r="C15" s="138" t="s">
        <v>168</v>
      </c>
      <c r="D15" s="138" t="s">
        <v>169</v>
      </c>
      <c r="E15" s="138" t="s">
        <v>170</v>
      </c>
      <c r="F15" s="138" t="s">
        <v>171</v>
      </c>
      <c r="G15" s="138" t="s">
        <v>172</v>
      </c>
      <c r="H15" s="138" t="s">
        <v>173</v>
      </c>
      <c r="I15" s="138" t="s">
        <v>174</v>
      </c>
      <c r="J15" s="138" t="s">
        <v>175</v>
      </c>
      <c r="K15" s="139" t="s">
        <v>230</v>
      </c>
      <c r="M15" s="174"/>
      <c r="S15"/>
      <c r="T15" s="119" t="s">
        <v>21</v>
      </c>
      <c r="U15" s="82">
        <v>2.7257575757575756</v>
      </c>
      <c r="V15" s="82">
        <v>1.9555555555555557</v>
      </c>
      <c r="W15" s="82">
        <v>1.7428571428571431</v>
      </c>
      <c r="X15"/>
      <c r="Y15"/>
    </row>
    <row r="16" spans="1:133" x14ac:dyDescent="0.25">
      <c r="A16" s="83" t="s">
        <v>21</v>
      </c>
      <c r="B16" s="123">
        <v>2</v>
      </c>
      <c r="C16" s="124">
        <v>2</v>
      </c>
      <c r="D16" s="124">
        <v>1</v>
      </c>
      <c r="E16" s="124">
        <v>2.2000000000000002</v>
      </c>
      <c r="F16" s="124">
        <v>3</v>
      </c>
      <c r="G16" s="124">
        <v>3</v>
      </c>
      <c r="H16" s="124">
        <v>1</v>
      </c>
      <c r="I16" s="124">
        <v>1.8</v>
      </c>
      <c r="J16" s="124">
        <v>1.6</v>
      </c>
      <c r="K16" s="135">
        <v>1.9555555555555557</v>
      </c>
      <c r="M16" s="174"/>
      <c r="N16" s="13"/>
      <c r="T16" s="119" t="s">
        <v>124</v>
      </c>
      <c r="U16" s="82">
        <v>2.7222222222222228</v>
      </c>
      <c r="V16" s="82">
        <v>1.8518518518518519</v>
      </c>
      <c r="W16" s="82">
        <v>1.6666666666666667</v>
      </c>
    </row>
    <row r="17" spans="1:27" x14ac:dyDescent="0.25">
      <c r="A17" s="85" t="s">
        <v>124</v>
      </c>
      <c r="B17" s="125">
        <v>2</v>
      </c>
      <c r="C17" s="126">
        <v>2</v>
      </c>
      <c r="D17" s="126">
        <v>1</v>
      </c>
      <c r="E17" s="126">
        <v>2</v>
      </c>
      <c r="F17" s="126">
        <v>3</v>
      </c>
      <c r="G17" s="126">
        <v>3</v>
      </c>
      <c r="H17" s="126">
        <v>1</v>
      </c>
      <c r="I17" s="86">
        <v>1.6666666666666667</v>
      </c>
      <c r="J17" s="126">
        <v>1</v>
      </c>
      <c r="K17" s="136">
        <v>1.8518518518518519</v>
      </c>
      <c r="M17" s="174"/>
      <c r="N17" s="13"/>
      <c r="T17" s="119" t="s">
        <v>20</v>
      </c>
      <c r="U17" s="82">
        <v>2.583333333333333</v>
      </c>
      <c r="V17" s="82">
        <v>2.0095238095238095</v>
      </c>
      <c r="W17" s="82">
        <v>2</v>
      </c>
    </row>
    <row r="18" spans="1:27" x14ac:dyDescent="0.25">
      <c r="A18" s="85" t="s">
        <v>20</v>
      </c>
      <c r="B18" s="125">
        <v>2.2000000000000002</v>
      </c>
      <c r="C18" s="126">
        <v>2</v>
      </c>
      <c r="D18" s="126">
        <v>0.6</v>
      </c>
      <c r="E18" s="126">
        <v>3</v>
      </c>
      <c r="F18" s="126">
        <v>3</v>
      </c>
      <c r="G18" s="126">
        <v>2.5</v>
      </c>
      <c r="H18" s="126">
        <v>1</v>
      </c>
      <c r="I18" s="126">
        <v>1.2</v>
      </c>
      <c r="J18" s="126">
        <v>3</v>
      </c>
      <c r="K18" s="136">
        <v>2.0095238095238095</v>
      </c>
      <c r="M18" s="174"/>
      <c r="N18" s="13"/>
      <c r="T18" s="119" t="s">
        <v>19</v>
      </c>
      <c r="U18" s="82">
        <v>2.7333333333333334</v>
      </c>
      <c r="V18" s="82">
        <v>2.1555555555555559</v>
      </c>
      <c r="W18" s="82">
        <v>2.1428571428571432</v>
      </c>
    </row>
    <row r="19" spans="1:27" x14ac:dyDescent="0.25">
      <c r="A19" s="85" t="s">
        <v>19</v>
      </c>
      <c r="B19" s="125">
        <v>2</v>
      </c>
      <c r="C19" s="126">
        <v>2.2000000000000002</v>
      </c>
      <c r="D19" s="126">
        <v>0.6</v>
      </c>
      <c r="E19" s="126">
        <v>3</v>
      </c>
      <c r="F19" s="126">
        <v>3</v>
      </c>
      <c r="G19" s="126">
        <v>2.4</v>
      </c>
      <c r="H19" s="126">
        <v>1.4</v>
      </c>
      <c r="I19" s="126">
        <v>1.8</v>
      </c>
      <c r="J19" s="126">
        <v>3</v>
      </c>
      <c r="K19" s="136">
        <v>2.1555555555555559</v>
      </c>
      <c r="M19" s="174"/>
      <c r="N19" s="13"/>
      <c r="T19" s="119" t="s">
        <v>23</v>
      </c>
      <c r="U19" s="82">
        <v>2.8833333333333333</v>
      </c>
      <c r="V19" s="82">
        <v>2.2666666666666666</v>
      </c>
      <c r="W19" s="82">
        <v>1.8285714285714287</v>
      </c>
    </row>
    <row r="20" spans="1:27" x14ac:dyDescent="0.25">
      <c r="A20" s="85" t="s">
        <v>23</v>
      </c>
      <c r="B20" s="125">
        <v>2</v>
      </c>
      <c r="C20" s="126">
        <v>2</v>
      </c>
      <c r="D20" s="126">
        <v>0.8</v>
      </c>
      <c r="E20" s="126">
        <v>3</v>
      </c>
      <c r="F20" s="126">
        <v>3</v>
      </c>
      <c r="G20" s="126">
        <v>3</v>
      </c>
      <c r="H20" s="126">
        <v>1</v>
      </c>
      <c r="I20" s="126">
        <v>2.6</v>
      </c>
      <c r="J20" s="126">
        <v>3</v>
      </c>
      <c r="K20" s="136">
        <v>2.2666666666666666</v>
      </c>
      <c r="M20" s="174"/>
      <c r="N20" s="13"/>
      <c r="T20" s="119" t="s">
        <v>18</v>
      </c>
      <c r="U20" s="82">
        <v>2.7916666666666665</v>
      </c>
      <c r="V20" s="82">
        <v>2.1666666666666665</v>
      </c>
      <c r="W20" s="82">
        <v>2</v>
      </c>
    </row>
    <row r="21" spans="1:27" x14ac:dyDescent="0.25">
      <c r="A21" s="85" t="s">
        <v>18</v>
      </c>
      <c r="B21" s="125">
        <v>2</v>
      </c>
      <c r="C21" s="126">
        <v>2.5</v>
      </c>
      <c r="D21" s="126">
        <v>1</v>
      </c>
      <c r="E21" s="126">
        <v>2.25</v>
      </c>
      <c r="F21" s="126">
        <v>3</v>
      </c>
      <c r="G21" s="126">
        <v>3</v>
      </c>
      <c r="H21" s="126">
        <v>2</v>
      </c>
      <c r="I21" s="126">
        <v>2</v>
      </c>
      <c r="J21" s="126">
        <v>1.75</v>
      </c>
      <c r="K21" s="136">
        <v>2.1666666666666665</v>
      </c>
      <c r="T21" s="119" t="s">
        <v>140</v>
      </c>
      <c r="U21" s="82">
        <v>2.7399410774410775</v>
      </c>
      <c r="V21" s="82">
        <v>2.0676366843033511</v>
      </c>
      <c r="W21" s="82">
        <v>1.896825396825397</v>
      </c>
    </row>
    <row r="22" spans="1:27" x14ac:dyDescent="0.25">
      <c r="A22" s="127" t="s">
        <v>140</v>
      </c>
      <c r="B22" s="128">
        <v>2.0370370370370372</v>
      </c>
      <c r="C22" s="129">
        <v>2.1111111111111112</v>
      </c>
      <c r="D22" s="129">
        <v>0.81481481481481477</v>
      </c>
      <c r="E22" s="129">
        <v>2.6296296296296298</v>
      </c>
      <c r="F22" s="129">
        <v>3</v>
      </c>
      <c r="G22" s="129">
        <v>2.8076923076923075</v>
      </c>
      <c r="H22" s="129">
        <v>1.2222222222222223</v>
      </c>
      <c r="I22" s="129">
        <v>1.8518518518518519</v>
      </c>
      <c r="J22" s="129">
        <v>2.3333333333333335</v>
      </c>
      <c r="K22" s="130">
        <v>2.0799529688418579</v>
      </c>
    </row>
    <row r="25" spans="1:27" ht="15.6" x14ac:dyDescent="0.3">
      <c r="A25" s="155" t="s">
        <v>233</v>
      </c>
      <c r="B25" s="155"/>
      <c r="C25" s="155"/>
      <c r="D25" s="155"/>
      <c r="E25" s="155"/>
      <c r="F25" s="155"/>
      <c r="G25" s="155"/>
      <c r="H25" s="155"/>
      <c r="I25" s="88"/>
      <c r="J25" s="88"/>
    </row>
    <row r="26" spans="1:27" x14ac:dyDescent="0.25">
      <c r="A26" s="156" t="s">
        <v>141</v>
      </c>
      <c r="B26" s="156"/>
      <c r="C26" s="156"/>
      <c r="D26" s="156"/>
      <c r="E26" s="156"/>
      <c r="F26" s="156"/>
      <c r="G26" s="156"/>
      <c r="H26" s="156"/>
      <c r="I26" s="66"/>
      <c r="J26" s="66"/>
    </row>
    <row r="27" spans="1:27" ht="52.8" x14ac:dyDescent="0.25">
      <c r="A27" s="131" t="s">
        <v>139</v>
      </c>
      <c r="B27" s="131" t="s">
        <v>177</v>
      </c>
      <c r="C27" s="132" t="s">
        <v>178</v>
      </c>
      <c r="D27" s="132" t="s">
        <v>179</v>
      </c>
      <c r="E27" s="132" t="s">
        <v>180</v>
      </c>
      <c r="F27" s="132" t="s">
        <v>181</v>
      </c>
      <c r="G27" s="132" t="s">
        <v>182</v>
      </c>
      <c r="H27" s="132" t="s">
        <v>183</v>
      </c>
      <c r="I27" s="84" t="s">
        <v>230</v>
      </c>
    </row>
    <row r="28" spans="1:27" ht="15" x14ac:dyDescent="0.25">
      <c r="A28" s="83" t="s">
        <v>21</v>
      </c>
      <c r="B28" s="123">
        <v>1.2</v>
      </c>
      <c r="C28" s="124">
        <v>1.6</v>
      </c>
      <c r="D28" s="124">
        <v>1</v>
      </c>
      <c r="E28" s="124">
        <v>1.4</v>
      </c>
      <c r="F28" s="124">
        <v>2.2000000000000002</v>
      </c>
      <c r="G28" s="124">
        <v>1.8</v>
      </c>
      <c r="H28" s="124">
        <v>3</v>
      </c>
      <c r="I28" s="175">
        <v>1.7428571428571431</v>
      </c>
      <c r="J28" s="176"/>
      <c r="K28" s="173"/>
      <c r="S28" s="177" t="s">
        <v>17</v>
      </c>
      <c r="T28" s="177" t="s">
        <v>235</v>
      </c>
      <c r="U28" s="177" t="s">
        <v>237</v>
      </c>
      <c r="V28" s="177" t="s">
        <v>236</v>
      </c>
      <c r="Y28" s="173"/>
      <c r="Z28" s="173"/>
      <c r="AA28" s="173"/>
    </row>
    <row r="29" spans="1:27" x14ac:dyDescent="0.25">
      <c r="A29" s="85" t="s">
        <v>124</v>
      </c>
      <c r="B29" s="125">
        <v>1</v>
      </c>
      <c r="C29" s="126">
        <v>2</v>
      </c>
      <c r="D29" s="126">
        <v>1</v>
      </c>
      <c r="E29" s="126">
        <v>1</v>
      </c>
      <c r="F29" s="126">
        <v>2</v>
      </c>
      <c r="G29" s="86">
        <v>1.6666666666666667</v>
      </c>
      <c r="H29" s="126">
        <v>3</v>
      </c>
      <c r="I29" s="86">
        <v>1.6666666666666667</v>
      </c>
      <c r="J29" s="176"/>
      <c r="K29" s="173"/>
      <c r="S29" s="178" t="s">
        <v>21</v>
      </c>
      <c r="T29" s="105">
        <v>0.9085858585858585</v>
      </c>
      <c r="U29" s="105">
        <v>0.6518518518518519</v>
      </c>
      <c r="V29" s="105">
        <v>0.580952380952381</v>
      </c>
      <c r="Y29" s="173"/>
      <c r="Z29" s="173"/>
      <c r="AA29" s="173"/>
    </row>
    <row r="30" spans="1:27" x14ac:dyDescent="0.25">
      <c r="A30" s="85" t="s">
        <v>20</v>
      </c>
      <c r="B30" s="125">
        <v>2</v>
      </c>
      <c r="C30" s="126">
        <v>1</v>
      </c>
      <c r="D30" s="126">
        <v>1.4</v>
      </c>
      <c r="E30" s="126">
        <v>3</v>
      </c>
      <c r="F30" s="126">
        <v>2.6</v>
      </c>
      <c r="G30" s="126">
        <v>1</v>
      </c>
      <c r="H30" s="126">
        <v>3</v>
      </c>
      <c r="I30" s="86">
        <v>2</v>
      </c>
      <c r="J30" s="176"/>
      <c r="K30" s="173"/>
      <c r="S30" s="178" t="s">
        <v>124</v>
      </c>
      <c r="T30" s="105">
        <v>0.90740740740740755</v>
      </c>
      <c r="U30" s="105">
        <v>0.61728395061728392</v>
      </c>
      <c r="V30" s="105">
        <v>0.55555555555555558</v>
      </c>
      <c r="Y30" s="173"/>
      <c r="Z30" s="173"/>
      <c r="AA30" s="173"/>
    </row>
    <row r="31" spans="1:27" x14ac:dyDescent="0.25">
      <c r="A31" s="85" t="s">
        <v>19</v>
      </c>
      <c r="B31" s="125">
        <v>1</v>
      </c>
      <c r="C31" s="126">
        <v>1.8</v>
      </c>
      <c r="D31" s="126">
        <v>1.8</v>
      </c>
      <c r="E31" s="126">
        <v>3</v>
      </c>
      <c r="F31" s="126">
        <v>2.6</v>
      </c>
      <c r="G31" s="126">
        <v>1.8</v>
      </c>
      <c r="H31" s="126">
        <v>3</v>
      </c>
      <c r="I31" s="86">
        <v>2.1428571428571432</v>
      </c>
      <c r="J31" s="176"/>
      <c r="K31" s="173"/>
      <c r="S31" s="178" t="s">
        <v>20</v>
      </c>
      <c r="T31" s="105">
        <v>0.86111111111111105</v>
      </c>
      <c r="U31" s="105">
        <v>0.66984126984126979</v>
      </c>
      <c r="V31" s="105">
        <v>0.66666666666666663</v>
      </c>
      <c r="Y31" s="173"/>
      <c r="Z31" s="173"/>
      <c r="AA31" s="173"/>
    </row>
    <row r="32" spans="1:27" x14ac:dyDescent="0.25">
      <c r="A32" s="85" t="s">
        <v>23</v>
      </c>
      <c r="B32" s="125">
        <v>1</v>
      </c>
      <c r="C32" s="126">
        <v>1</v>
      </c>
      <c r="D32" s="126">
        <v>1</v>
      </c>
      <c r="E32" s="126">
        <v>3</v>
      </c>
      <c r="F32" s="126">
        <v>2.8</v>
      </c>
      <c r="G32" s="126">
        <v>1</v>
      </c>
      <c r="H32" s="126">
        <v>3</v>
      </c>
      <c r="I32" s="86">
        <v>1.8285714285714287</v>
      </c>
      <c r="J32" s="176"/>
      <c r="K32" s="173"/>
      <c r="S32" s="178" t="s">
        <v>19</v>
      </c>
      <c r="T32" s="105">
        <v>0.91111111111111109</v>
      </c>
      <c r="U32" s="105">
        <v>0.71851851851851867</v>
      </c>
      <c r="V32" s="105">
        <v>0.71428571428571441</v>
      </c>
      <c r="Y32" s="173"/>
      <c r="Z32" s="173"/>
      <c r="AA32" s="173"/>
    </row>
    <row r="33" spans="1:27" x14ac:dyDescent="0.25">
      <c r="A33" s="85" t="s">
        <v>18</v>
      </c>
      <c r="B33" s="125">
        <v>1.5</v>
      </c>
      <c r="C33" s="126">
        <v>2.25</v>
      </c>
      <c r="D33" s="126">
        <v>1.5</v>
      </c>
      <c r="E33" s="126">
        <v>1.5</v>
      </c>
      <c r="F33" s="126">
        <v>2</v>
      </c>
      <c r="G33" s="126">
        <v>2.25</v>
      </c>
      <c r="H33" s="126">
        <v>3</v>
      </c>
      <c r="I33" s="86">
        <v>2</v>
      </c>
      <c r="J33" s="176"/>
      <c r="K33" s="173"/>
      <c r="S33" s="178" t="s">
        <v>23</v>
      </c>
      <c r="T33" s="105">
        <v>0.96111111111111114</v>
      </c>
      <c r="U33" s="105">
        <v>0.75555555555555554</v>
      </c>
      <c r="V33" s="105">
        <v>0.60952380952380958</v>
      </c>
      <c r="Y33" s="173"/>
      <c r="Z33" s="173"/>
      <c r="AA33" s="173"/>
    </row>
    <row r="34" spans="1:27" x14ac:dyDescent="0.25">
      <c r="A34" s="133" t="s">
        <v>140</v>
      </c>
      <c r="B34" s="128">
        <v>1.2962962962962963</v>
      </c>
      <c r="C34" s="129">
        <v>1.5555555555555556</v>
      </c>
      <c r="D34" s="129">
        <v>1.2962962962962963</v>
      </c>
      <c r="E34" s="129">
        <v>2.2592592592592591</v>
      </c>
      <c r="F34" s="129">
        <v>2.4074074074074074</v>
      </c>
      <c r="G34" s="129">
        <v>1.5555555555555556</v>
      </c>
      <c r="H34" s="129">
        <v>3</v>
      </c>
      <c r="I34" s="130">
        <v>1.9100529100529096</v>
      </c>
      <c r="K34" s="173"/>
      <c r="S34" s="178" t="s">
        <v>18</v>
      </c>
      <c r="T34" s="105">
        <v>0.93055555555555547</v>
      </c>
      <c r="U34" s="105">
        <v>0.72222222222222221</v>
      </c>
      <c r="V34" s="105">
        <v>0.66666666666666663</v>
      </c>
      <c r="Y34" s="173"/>
      <c r="Z34" s="173"/>
      <c r="AA34" s="173"/>
    </row>
    <row r="35" spans="1:27" x14ac:dyDescent="0.25">
      <c r="S35" s="178" t="s">
        <v>140</v>
      </c>
      <c r="T35" s="105">
        <v>0.91331369248035921</v>
      </c>
      <c r="U35" s="105">
        <v>0.68921222810111704</v>
      </c>
      <c r="V35" s="105">
        <v>0.63227513227513232</v>
      </c>
    </row>
  </sheetData>
  <mergeCells count="6">
    <mergeCell ref="A25:H25"/>
    <mergeCell ref="A26:H26"/>
    <mergeCell ref="A1:M1"/>
    <mergeCell ref="B2:M2"/>
    <mergeCell ref="A13:J13"/>
    <mergeCell ref="B14:J14"/>
  </mergeCells>
  <conditionalFormatting pivot="1" sqref="B10:N10">
    <cfRule type="cellIs" dxfId="55" priority="42" operator="greaterThan">
      <formula>2.8</formula>
    </cfRule>
  </conditionalFormatting>
  <conditionalFormatting pivot="1" sqref="B4:N9">
    <cfRule type="cellIs" dxfId="54" priority="37" operator="lessThan">
      <formula>1</formula>
    </cfRule>
  </conditionalFormatting>
  <conditionalFormatting pivot="1" sqref="B10:N10">
    <cfRule type="cellIs" dxfId="53" priority="36" operator="between">
      <formula>2</formula>
      <formula>2.8</formula>
    </cfRule>
  </conditionalFormatting>
  <conditionalFormatting pivot="1" sqref="B10:N10">
    <cfRule type="cellIs" dxfId="52" priority="34" operator="lessThan">
      <formula>2</formula>
    </cfRule>
  </conditionalFormatting>
  <conditionalFormatting pivot="1" sqref="B16:K21">
    <cfRule type="cellIs" dxfId="51" priority="31" operator="lessThan">
      <formula>1</formula>
    </cfRule>
  </conditionalFormatting>
  <conditionalFormatting pivot="1" sqref="B22:K22">
    <cfRule type="cellIs" dxfId="50" priority="30" operator="greaterThan">
      <formula>2.8</formula>
    </cfRule>
  </conditionalFormatting>
  <conditionalFormatting pivot="1" sqref="B22:K22">
    <cfRule type="cellIs" dxfId="49" priority="29" operator="between">
      <formula>2</formula>
      <formula>2.8</formula>
    </cfRule>
  </conditionalFormatting>
  <conditionalFormatting pivot="1" sqref="B22:K22">
    <cfRule type="cellIs" dxfId="48" priority="28" operator="lessThan">
      <formula>2</formula>
    </cfRule>
  </conditionalFormatting>
  <conditionalFormatting pivot="1" sqref="B28:I33">
    <cfRule type="cellIs" dxfId="47" priority="27" operator="lessThan">
      <formula>1</formula>
    </cfRule>
  </conditionalFormatting>
  <conditionalFormatting pivot="1" sqref="B34:I34">
    <cfRule type="cellIs" dxfId="46" priority="26" operator="between">
      <formula>2</formula>
      <formula>2.8</formula>
    </cfRule>
  </conditionalFormatting>
  <conditionalFormatting pivot="1" sqref="B34:I34">
    <cfRule type="cellIs" dxfId="45" priority="24" operator="greaterThan">
      <formula>2.8</formula>
    </cfRule>
  </conditionalFormatting>
  <conditionalFormatting pivot="1" sqref="B34:I34">
    <cfRule type="cellIs" dxfId="44" priority="23" operator="lessThan">
      <formula>2</formula>
    </cfRule>
  </conditionalFormatting>
  <conditionalFormatting sqref="T10">
    <cfRule type="cellIs" dxfId="43" priority="16" operator="greaterThan">
      <formula>2.8</formula>
    </cfRule>
  </conditionalFormatting>
  <conditionalFormatting sqref="T4:T9">
    <cfRule type="cellIs" dxfId="42" priority="15" operator="lessThan">
      <formula>1</formula>
    </cfRule>
  </conditionalFormatting>
  <conditionalFormatting sqref="T10">
    <cfRule type="cellIs" dxfId="41" priority="14" operator="between">
      <formula>2</formula>
      <formula>2.8</formula>
    </cfRule>
  </conditionalFormatting>
  <conditionalFormatting sqref="T10">
    <cfRule type="cellIs" dxfId="40" priority="13" operator="lessThan">
      <formula>2</formula>
    </cfRule>
  </conditionalFormatting>
  <conditionalFormatting sqref="U4:U9">
    <cfRule type="cellIs" dxfId="39" priority="12" operator="lessThan">
      <formula>1</formula>
    </cfRule>
  </conditionalFormatting>
  <conditionalFormatting sqref="U10">
    <cfRule type="cellIs" dxfId="38" priority="11" operator="greaterThan">
      <formula>2.8</formula>
    </cfRule>
  </conditionalFormatting>
  <conditionalFormatting sqref="U10">
    <cfRule type="cellIs" dxfId="37" priority="10" operator="between">
      <formula>2</formula>
      <formula>2.8</formula>
    </cfRule>
  </conditionalFormatting>
  <conditionalFormatting sqref="U10">
    <cfRule type="cellIs" dxfId="36" priority="9" operator="lessThan">
      <formula>2</formula>
    </cfRule>
  </conditionalFormatting>
  <conditionalFormatting sqref="V4:V9">
    <cfRule type="cellIs" dxfId="35" priority="8" operator="lessThan">
      <formula>1</formula>
    </cfRule>
  </conditionalFormatting>
  <conditionalFormatting sqref="V10">
    <cfRule type="cellIs" dxfId="34" priority="7" operator="between">
      <formula>2</formula>
      <formula>2.8</formula>
    </cfRule>
  </conditionalFormatting>
  <conditionalFormatting sqref="V10">
    <cfRule type="cellIs" dxfId="33" priority="6" operator="greaterThan">
      <formula>2.8</formula>
    </cfRule>
  </conditionalFormatting>
  <conditionalFormatting sqref="V10">
    <cfRule type="cellIs" dxfId="32" priority="5" operator="lessThan">
      <formula>2</formula>
    </cfRule>
  </conditionalFormatting>
  <conditionalFormatting sqref="T29:V35">
    <cfRule type="cellIs" dxfId="31" priority="1" operator="between">
      <formula>50%</formula>
      <formula>0.85</formula>
    </cfRule>
    <cfRule type="cellIs" dxfId="30" priority="2" operator="greaterThan">
      <formula>0.85</formula>
    </cfRule>
  </conditionalFormatting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BFF5F-A857-4E32-B587-E2B462F155BE}">
  <dimension ref="A1:O57"/>
  <sheetViews>
    <sheetView workbookViewId="0">
      <selection activeCell="I23" sqref="I23"/>
    </sheetView>
  </sheetViews>
  <sheetFormatPr defaultRowHeight="13.8" x14ac:dyDescent="0.25"/>
  <cols>
    <col min="1" max="1" width="11.59765625" customWidth="1"/>
    <col min="2" max="2" width="27.296875" bestFit="1" customWidth="1"/>
    <col min="3" max="3" width="28.296875" bestFit="1" customWidth="1"/>
    <col min="4" max="4" width="12.796875" customWidth="1"/>
    <col min="5" max="5" width="12.796875" style="105" customWidth="1"/>
    <col min="6" max="10" width="13.3984375" customWidth="1"/>
    <col min="11" max="11" width="28.09765625" customWidth="1"/>
    <col min="14" max="15" width="12.69921875" bestFit="1" customWidth="1"/>
    <col min="16" max="16" width="22.59765625" bestFit="1" customWidth="1"/>
  </cols>
  <sheetData>
    <row r="1" spans="1:12" x14ac:dyDescent="0.25">
      <c r="A1" s="181" t="s">
        <v>25</v>
      </c>
      <c r="B1" s="182" t="s">
        <v>27</v>
      </c>
      <c r="C1" s="182" t="s">
        <v>17</v>
      </c>
      <c r="D1" s="183" t="s">
        <v>185</v>
      </c>
      <c r="E1" s="183" t="s">
        <v>125</v>
      </c>
      <c r="F1" s="184" t="s">
        <v>184</v>
      </c>
      <c r="G1" s="185" t="s">
        <v>220</v>
      </c>
      <c r="H1" s="96"/>
      <c r="I1" s="96"/>
      <c r="J1" s="96"/>
      <c r="K1" s="96"/>
    </row>
    <row r="2" spans="1:12" x14ac:dyDescent="0.25">
      <c r="A2" s="97">
        <v>50</v>
      </c>
      <c r="B2" s="100" t="s">
        <v>35</v>
      </c>
      <c r="C2" s="101" t="s">
        <v>19</v>
      </c>
      <c r="D2" s="98">
        <v>1</v>
      </c>
      <c r="E2" s="98">
        <v>0.85185185185185175</v>
      </c>
      <c r="F2" s="98">
        <v>0.90476190476190477</v>
      </c>
      <c r="G2" s="99">
        <v>0.91887125220458543</v>
      </c>
      <c r="H2" s="103"/>
      <c r="J2" s="103"/>
      <c r="K2" s="104"/>
      <c r="L2" s="61"/>
    </row>
    <row r="3" spans="1:12" x14ac:dyDescent="0.25">
      <c r="A3" s="107">
        <v>47</v>
      </c>
      <c r="B3" s="14" t="s">
        <v>34</v>
      </c>
      <c r="C3" s="108" t="s">
        <v>19</v>
      </c>
      <c r="D3" s="103">
        <v>1</v>
      </c>
      <c r="E3" s="103">
        <v>0.74074074074074081</v>
      </c>
      <c r="F3" s="103">
        <v>0.90476190476190477</v>
      </c>
      <c r="G3" s="103">
        <v>0.88183421516754856</v>
      </c>
      <c r="H3" s="105"/>
      <c r="J3" s="105"/>
      <c r="K3" s="141" t="s">
        <v>21</v>
      </c>
      <c r="L3" s="82">
        <v>2.1413900913900914</v>
      </c>
    </row>
    <row r="4" spans="1:12" x14ac:dyDescent="0.25">
      <c r="A4" s="107">
        <v>6</v>
      </c>
      <c r="B4" s="14" t="s">
        <v>44</v>
      </c>
      <c r="C4" s="6" t="s">
        <v>23</v>
      </c>
      <c r="D4" s="103">
        <v>1</v>
      </c>
      <c r="E4" s="103">
        <v>0.74074074074074081</v>
      </c>
      <c r="F4" s="103">
        <v>0.61904761904761907</v>
      </c>
      <c r="G4" s="103">
        <v>0.78659611992945322</v>
      </c>
      <c r="H4" s="105"/>
      <c r="J4" s="105"/>
      <c r="K4" s="143" t="s">
        <v>124</v>
      </c>
      <c r="L4" s="82">
        <v>2.0802469135802473</v>
      </c>
    </row>
    <row r="5" spans="1:12" x14ac:dyDescent="0.25">
      <c r="A5" s="107">
        <v>22</v>
      </c>
      <c r="B5" s="14" t="s">
        <v>38</v>
      </c>
      <c r="C5" s="6" t="s">
        <v>23</v>
      </c>
      <c r="D5" s="103">
        <v>1</v>
      </c>
      <c r="E5" s="103">
        <v>0.70370370370370372</v>
      </c>
      <c r="F5" s="103">
        <v>0.5714285714285714</v>
      </c>
      <c r="G5" s="103">
        <v>0.75837742504409167</v>
      </c>
      <c r="H5" s="105"/>
      <c r="J5" s="105"/>
      <c r="K5" s="143" t="s">
        <v>20</v>
      </c>
      <c r="L5" s="82">
        <v>2.1976190476190474</v>
      </c>
    </row>
    <row r="6" spans="1:12" x14ac:dyDescent="0.25">
      <c r="A6" s="107">
        <v>25</v>
      </c>
      <c r="B6" s="14" t="s">
        <v>13</v>
      </c>
      <c r="C6" s="6" t="s">
        <v>18</v>
      </c>
      <c r="D6" s="103">
        <v>1</v>
      </c>
      <c r="E6" s="103">
        <v>0.70370370370370372</v>
      </c>
      <c r="F6" s="103">
        <v>0.5714285714285714</v>
      </c>
      <c r="G6" s="103">
        <v>0.75837742504409167</v>
      </c>
      <c r="H6" s="105"/>
      <c r="J6" s="105"/>
      <c r="K6" s="143" t="s">
        <v>19</v>
      </c>
      <c r="L6" s="82">
        <v>2.3439153439153442</v>
      </c>
    </row>
    <row r="7" spans="1:12" x14ac:dyDescent="0.25">
      <c r="A7" s="107">
        <v>34</v>
      </c>
      <c r="B7" s="14" t="s">
        <v>14</v>
      </c>
      <c r="C7" s="6" t="s">
        <v>18</v>
      </c>
      <c r="D7" s="103">
        <v>0.97222222222222221</v>
      </c>
      <c r="E7" s="103">
        <v>0.81481481481481488</v>
      </c>
      <c r="F7" s="103">
        <v>0.90476190476190477</v>
      </c>
      <c r="G7" s="103">
        <v>0.89726631393298062</v>
      </c>
      <c r="H7" s="105"/>
      <c r="J7" s="105"/>
      <c r="K7" s="143" t="s">
        <v>23</v>
      </c>
      <c r="L7" s="82">
        <v>2.3261904761904764</v>
      </c>
    </row>
    <row r="8" spans="1:12" x14ac:dyDescent="0.25">
      <c r="A8" s="107">
        <v>43</v>
      </c>
      <c r="B8" s="14" t="s">
        <v>16</v>
      </c>
      <c r="C8" s="6" t="s">
        <v>23</v>
      </c>
      <c r="D8" s="103">
        <v>0.97222222222222221</v>
      </c>
      <c r="E8" s="103">
        <v>0.74074074074074081</v>
      </c>
      <c r="F8" s="103">
        <v>0.61904761904761907</v>
      </c>
      <c r="G8" s="103">
        <v>0.77733686067019414</v>
      </c>
      <c r="H8" s="105"/>
      <c r="J8" s="105"/>
      <c r="K8" s="143" t="s">
        <v>18</v>
      </c>
      <c r="L8" s="82">
        <v>2.3194444444444442</v>
      </c>
    </row>
    <row r="9" spans="1:12" x14ac:dyDescent="0.25">
      <c r="A9" s="107">
        <v>17</v>
      </c>
      <c r="B9" s="102" t="s">
        <v>41</v>
      </c>
      <c r="C9" s="6" t="s">
        <v>21</v>
      </c>
      <c r="D9" s="103">
        <v>0.97222222222222221</v>
      </c>
      <c r="E9" s="103">
        <v>0.70370370370370372</v>
      </c>
      <c r="F9" s="103">
        <v>0.61904761904761907</v>
      </c>
      <c r="G9" s="103">
        <v>0.76499118165784818</v>
      </c>
      <c r="H9" s="105"/>
      <c r="J9" s="105"/>
      <c r="K9" s="106"/>
      <c r="L9" s="61"/>
    </row>
    <row r="10" spans="1:12" x14ac:dyDescent="0.25">
      <c r="A10" s="107">
        <v>12</v>
      </c>
      <c r="B10" s="102" t="s">
        <v>12</v>
      </c>
      <c r="C10" s="6" t="s">
        <v>21</v>
      </c>
      <c r="D10" s="103">
        <v>0.94444444444444453</v>
      </c>
      <c r="E10" s="103">
        <v>0.62962962962962965</v>
      </c>
      <c r="F10" s="103">
        <v>0.7142857142857143</v>
      </c>
      <c r="G10" s="103">
        <v>0.76278659611992949</v>
      </c>
      <c r="H10" s="105"/>
      <c r="J10" s="105"/>
      <c r="K10" s="106"/>
      <c r="L10" s="61"/>
    </row>
    <row r="11" spans="1:12" x14ac:dyDescent="0.25">
      <c r="A11" s="107">
        <v>45</v>
      </c>
      <c r="B11" s="102" t="s">
        <v>45</v>
      </c>
      <c r="C11" s="6" t="s">
        <v>21</v>
      </c>
      <c r="D11" s="103">
        <v>0.94444444444444453</v>
      </c>
      <c r="E11" s="103">
        <v>0.62962962962962965</v>
      </c>
      <c r="F11" s="103">
        <v>0.7142857142857143</v>
      </c>
      <c r="G11" s="103">
        <v>0.76278659611992949</v>
      </c>
      <c r="H11" s="105"/>
      <c r="J11" s="105"/>
      <c r="K11" s="106"/>
      <c r="L11" s="61"/>
    </row>
    <row r="12" spans="1:12" x14ac:dyDescent="0.25">
      <c r="A12" s="107">
        <v>36</v>
      </c>
      <c r="B12" s="14" t="s">
        <v>37</v>
      </c>
      <c r="C12" s="6" t="s">
        <v>124</v>
      </c>
      <c r="D12" s="103">
        <v>0.94444444444444453</v>
      </c>
      <c r="E12" s="103">
        <v>0.62962962962962965</v>
      </c>
      <c r="F12" s="103">
        <v>0.5714285714285714</v>
      </c>
      <c r="G12" s="103">
        <v>0.71516754850088182</v>
      </c>
      <c r="H12" s="105"/>
      <c r="J12" s="105"/>
      <c r="K12" s="106"/>
      <c r="L12" s="61"/>
    </row>
    <row r="13" spans="1:12" x14ac:dyDescent="0.25">
      <c r="A13" s="107">
        <v>8</v>
      </c>
      <c r="B13" s="14" t="s">
        <v>10</v>
      </c>
      <c r="C13" s="6" t="s">
        <v>124</v>
      </c>
      <c r="D13" s="103">
        <v>0.94444444444444453</v>
      </c>
      <c r="E13" s="103">
        <v>0.62962962962962965</v>
      </c>
      <c r="F13" s="103">
        <v>0.5714285714285714</v>
      </c>
      <c r="G13" s="103">
        <v>0.71516754850088182</v>
      </c>
      <c r="H13" s="105"/>
      <c r="J13" s="105"/>
      <c r="K13" s="106"/>
      <c r="L13" s="61"/>
    </row>
    <row r="14" spans="1:12" x14ac:dyDescent="0.25">
      <c r="A14" s="107">
        <v>5</v>
      </c>
      <c r="B14" s="14" t="s">
        <v>28</v>
      </c>
      <c r="C14" s="6" t="s">
        <v>20</v>
      </c>
      <c r="D14" s="103">
        <v>0.91666666666666663</v>
      </c>
      <c r="E14" s="103">
        <v>0.77777777777777779</v>
      </c>
      <c r="F14" s="103">
        <v>0.7142857142857143</v>
      </c>
      <c r="G14" s="103">
        <v>0.80291005291005291</v>
      </c>
      <c r="H14" s="105"/>
      <c r="J14" s="105"/>
      <c r="K14" s="106"/>
      <c r="L14" s="61"/>
    </row>
    <row r="15" spans="1:12" x14ac:dyDescent="0.25">
      <c r="A15" s="107">
        <v>11</v>
      </c>
      <c r="B15" s="14" t="s">
        <v>11</v>
      </c>
      <c r="C15" s="6" t="s">
        <v>23</v>
      </c>
      <c r="D15" s="103">
        <v>0.91666666666666663</v>
      </c>
      <c r="E15" s="103">
        <v>0.85185185185185175</v>
      </c>
      <c r="F15" s="103">
        <v>0.61904761904761907</v>
      </c>
      <c r="G15" s="103">
        <v>0.79585537918871252</v>
      </c>
      <c r="H15" s="105"/>
      <c r="J15" s="105"/>
      <c r="K15" s="106"/>
      <c r="L15" s="61"/>
    </row>
    <row r="16" spans="1:12" x14ac:dyDescent="0.25">
      <c r="A16" s="107">
        <v>40</v>
      </c>
      <c r="B16" s="14" t="s">
        <v>15</v>
      </c>
      <c r="C16" s="6" t="s">
        <v>23</v>
      </c>
      <c r="D16" s="103">
        <v>0.91666666666666663</v>
      </c>
      <c r="E16" s="103">
        <v>0.74074074074074081</v>
      </c>
      <c r="F16" s="103">
        <v>0.61904761904761907</v>
      </c>
      <c r="G16" s="103">
        <v>0.75881834215167554</v>
      </c>
      <c r="H16" s="105"/>
      <c r="J16" s="105"/>
      <c r="K16" s="106"/>
      <c r="L16" s="61"/>
    </row>
    <row r="17" spans="1:15" x14ac:dyDescent="0.25">
      <c r="A17" s="107">
        <v>49</v>
      </c>
      <c r="B17" s="14" t="s">
        <v>42</v>
      </c>
      <c r="C17" s="108" t="s">
        <v>19</v>
      </c>
      <c r="D17" s="103">
        <v>0.91666666666666663</v>
      </c>
      <c r="E17" s="103">
        <v>0.66666666666666663</v>
      </c>
      <c r="F17" s="103">
        <v>0.5714285714285714</v>
      </c>
      <c r="G17" s="103">
        <v>0.71825396825396826</v>
      </c>
      <c r="H17" s="105"/>
      <c r="J17" s="105"/>
      <c r="K17" s="106"/>
      <c r="L17" s="61"/>
    </row>
    <row r="18" spans="1:15" x14ac:dyDescent="0.25">
      <c r="A18" s="107">
        <v>35</v>
      </c>
      <c r="B18" s="14" t="s">
        <v>40</v>
      </c>
      <c r="C18" s="6" t="s">
        <v>18</v>
      </c>
      <c r="D18" s="103">
        <v>0.88888888888888884</v>
      </c>
      <c r="E18" s="103">
        <v>0.74074074074074081</v>
      </c>
      <c r="F18" s="103">
        <v>0.61904761904761907</v>
      </c>
      <c r="G18" s="103">
        <v>0.74955908289241624</v>
      </c>
      <c r="H18" s="105"/>
      <c r="J18" s="105"/>
      <c r="K18" s="106"/>
      <c r="L18" s="61"/>
    </row>
    <row r="19" spans="1:15" x14ac:dyDescent="0.25">
      <c r="A19" s="107">
        <v>10</v>
      </c>
      <c r="B19" s="14" t="s">
        <v>43</v>
      </c>
      <c r="C19" s="108" t="s">
        <v>19</v>
      </c>
      <c r="D19" s="103">
        <v>0.88888888888888884</v>
      </c>
      <c r="E19" s="103">
        <v>0.66666666666666663</v>
      </c>
      <c r="F19" s="103">
        <v>0.61904761904761907</v>
      </c>
      <c r="G19" s="103">
        <v>0.72486772486772477</v>
      </c>
      <c r="H19" s="105"/>
      <c r="J19" s="105"/>
      <c r="K19" s="106"/>
      <c r="L19" s="61"/>
    </row>
    <row r="20" spans="1:15" x14ac:dyDescent="0.25">
      <c r="A20" s="107">
        <v>2</v>
      </c>
      <c r="B20" s="14" t="s">
        <v>39</v>
      </c>
      <c r="C20" s="6" t="s">
        <v>20</v>
      </c>
      <c r="D20" s="103">
        <v>0.88888888888888884</v>
      </c>
      <c r="E20" s="103">
        <v>0.5714285714285714</v>
      </c>
      <c r="F20" s="103">
        <v>0.61904761904761907</v>
      </c>
      <c r="G20" s="103">
        <v>0.69312169312169303</v>
      </c>
      <c r="H20" s="105"/>
      <c r="J20" s="105"/>
    </row>
    <row r="21" spans="1:15" x14ac:dyDescent="0.25">
      <c r="A21" s="107">
        <v>13</v>
      </c>
      <c r="B21" s="14" t="s">
        <v>29</v>
      </c>
      <c r="C21" s="6" t="s">
        <v>18</v>
      </c>
      <c r="D21" s="103">
        <v>0.86111111111111116</v>
      </c>
      <c r="E21" s="103">
        <v>0.62962962962962965</v>
      </c>
      <c r="F21" s="103">
        <v>0.5714285714285714</v>
      </c>
      <c r="G21" s="103">
        <v>0.68738977072310403</v>
      </c>
      <c r="H21" s="105"/>
      <c r="J21" s="105"/>
      <c r="K21" s="59"/>
      <c r="L21" s="179"/>
      <c r="M21" s="179"/>
      <c r="N21" s="179"/>
      <c r="O21" s="178"/>
    </row>
    <row r="22" spans="1:15" x14ac:dyDescent="0.25">
      <c r="A22" s="107">
        <v>38</v>
      </c>
      <c r="B22" s="102" t="s">
        <v>36</v>
      </c>
      <c r="C22" s="6" t="s">
        <v>21</v>
      </c>
      <c r="D22" s="103">
        <v>0.84848484848484851</v>
      </c>
      <c r="E22" s="103">
        <v>0.62962962962962965</v>
      </c>
      <c r="F22" s="103">
        <v>0.66666666666666663</v>
      </c>
      <c r="G22" s="103">
        <v>0.71492704826038167</v>
      </c>
      <c r="H22" s="105"/>
      <c r="J22" s="105"/>
      <c r="L22" s="178"/>
      <c r="M22" s="176"/>
      <c r="N22" s="176"/>
      <c r="O22" s="178"/>
    </row>
    <row r="23" spans="1:15" x14ac:dyDescent="0.25">
      <c r="A23" s="107">
        <v>4</v>
      </c>
      <c r="B23" s="14" t="s">
        <v>9</v>
      </c>
      <c r="C23" s="6" t="s">
        <v>20</v>
      </c>
      <c r="D23" s="103">
        <v>0.83333333333333337</v>
      </c>
      <c r="E23" s="103">
        <v>0.66666666666666663</v>
      </c>
      <c r="F23" s="103">
        <v>0.7142857142857143</v>
      </c>
      <c r="G23" s="103">
        <v>0.73809523809523803</v>
      </c>
      <c r="H23" s="105"/>
      <c r="J23" s="105"/>
      <c r="L23" s="178"/>
      <c r="M23" s="176"/>
      <c r="N23" s="176"/>
      <c r="O23" s="178"/>
    </row>
    <row r="24" spans="1:15" x14ac:dyDescent="0.25">
      <c r="A24" s="107">
        <v>15</v>
      </c>
      <c r="B24" s="14" t="s">
        <v>31</v>
      </c>
      <c r="C24" s="6" t="s">
        <v>20</v>
      </c>
      <c r="D24" s="103">
        <v>0.83333333333333337</v>
      </c>
      <c r="E24" s="103">
        <v>0.70370370370370372</v>
      </c>
      <c r="F24" s="103">
        <v>0.61904761904761907</v>
      </c>
      <c r="G24" s="103">
        <v>0.71869488536155213</v>
      </c>
      <c r="H24" s="105"/>
      <c r="J24" s="105"/>
      <c r="L24" s="178"/>
      <c r="M24" s="176"/>
      <c r="N24" s="176"/>
      <c r="O24" s="178"/>
    </row>
    <row r="25" spans="1:15" x14ac:dyDescent="0.25">
      <c r="A25" s="107">
        <v>24</v>
      </c>
      <c r="B25" s="14" t="s">
        <v>138</v>
      </c>
      <c r="C25" s="6" t="s">
        <v>20</v>
      </c>
      <c r="D25" s="103">
        <v>0.83333333333333337</v>
      </c>
      <c r="E25" s="103">
        <v>0.62962962962962965</v>
      </c>
      <c r="F25" s="103">
        <v>0.66666666666666663</v>
      </c>
      <c r="G25" s="103">
        <v>0.70987654320987659</v>
      </c>
      <c r="H25" s="105"/>
      <c r="J25" s="105"/>
      <c r="L25" s="178"/>
      <c r="M25" s="176"/>
      <c r="N25" s="176"/>
      <c r="O25" s="178"/>
    </row>
    <row r="26" spans="1:15" x14ac:dyDescent="0.25">
      <c r="A26" s="107">
        <v>27</v>
      </c>
      <c r="B26" s="102" t="s">
        <v>32</v>
      </c>
      <c r="C26" s="6" t="s">
        <v>21</v>
      </c>
      <c r="D26" s="103">
        <v>0.83333333333333337</v>
      </c>
      <c r="E26" s="103">
        <v>0.66666666666666663</v>
      </c>
      <c r="F26" s="103">
        <v>0.61904761904761907</v>
      </c>
      <c r="G26" s="103">
        <v>0.70634920634920639</v>
      </c>
      <c r="H26" s="105"/>
      <c r="J26" s="105"/>
      <c r="L26" s="178"/>
      <c r="M26" s="176"/>
      <c r="N26" s="176"/>
      <c r="O26" s="178"/>
    </row>
    <row r="27" spans="1:15" x14ac:dyDescent="0.25">
      <c r="A27" s="107">
        <v>21</v>
      </c>
      <c r="B27" s="14" t="s">
        <v>46</v>
      </c>
      <c r="C27" s="6" t="s">
        <v>124</v>
      </c>
      <c r="D27" s="103">
        <v>0.83333333333333337</v>
      </c>
      <c r="E27" s="103">
        <v>0.59259259259259256</v>
      </c>
      <c r="F27" s="103">
        <v>0.52380952380952384</v>
      </c>
      <c r="G27" s="103">
        <v>0.64991181657848318</v>
      </c>
      <c r="H27" s="105"/>
      <c r="J27" s="105"/>
      <c r="L27" s="178"/>
      <c r="M27" s="176"/>
      <c r="N27" s="176"/>
      <c r="O27" s="178"/>
    </row>
    <row r="28" spans="1:15" x14ac:dyDescent="0.25">
      <c r="A28" s="107">
        <v>44</v>
      </c>
      <c r="B28" s="14" t="s">
        <v>30</v>
      </c>
      <c r="C28" s="108" t="s">
        <v>19</v>
      </c>
      <c r="D28" s="103">
        <v>0.75</v>
      </c>
      <c r="E28" s="103">
        <v>0.66666666666666663</v>
      </c>
      <c r="F28" s="103">
        <v>0.5714285714285714</v>
      </c>
      <c r="G28" s="103">
        <v>0.66269841269841268</v>
      </c>
      <c r="H28" s="105"/>
      <c r="J28" s="105"/>
      <c r="K28" s="8"/>
      <c r="L28" s="178"/>
      <c r="M28" s="180"/>
      <c r="N28" s="180"/>
      <c r="O28" s="178"/>
    </row>
    <row r="29" spans="1:15" x14ac:dyDescent="0.25">
      <c r="L29" s="178"/>
      <c r="M29" s="178"/>
      <c r="N29" s="178"/>
      <c r="O29" s="178"/>
    </row>
    <row r="30" spans="1:15" x14ac:dyDescent="0.25">
      <c r="B30" s="151" t="s">
        <v>238</v>
      </c>
      <c r="C30" s="152"/>
      <c r="D30" s="96"/>
      <c r="M30" s="82"/>
    </row>
    <row r="31" spans="1:15" ht="14.4" thickBot="1" x14ac:dyDescent="0.3">
      <c r="B31" s="144" t="s">
        <v>240</v>
      </c>
      <c r="C31" s="144" t="s">
        <v>239</v>
      </c>
      <c r="D31" s="153" t="s">
        <v>186</v>
      </c>
      <c r="E31" s="153"/>
      <c r="F31" s="153"/>
      <c r="G31" s="153"/>
      <c r="H31" s="153"/>
      <c r="M31" s="82"/>
    </row>
    <row r="32" spans="1:15" ht="15" x14ac:dyDescent="0.25">
      <c r="B32" s="145" t="s">
        <v>119</v>
      </c>
      <c r="C32" s="146">
        <v>1.4444444444444444</v>
      </c>
      <c r="D32" s="151"/>
      <c r="E32" s="151"/>
      <c r="F32" s="151"/>
      <c r="G32" s="151"/>
      <c r="H32" s="151"/>
      <c r="M32" s="82"/>
    </row>
    <row r="33" spans="2:13" ht="15" x14ac:dyDescent="0.25">
      <c r="B33" s="145" t="s">
        <v>122</v>
      </c>
      <c r="C33" s="147">
        <v>2.4814814814814814</v>
      </c>
      <c r="D33" s="151"/>
      <c r="E33" s="151"/>
      <c r="F33" s="151"/>
      <c r="G33" s="151"/>
      <c r="H33" s="151"/>
      <c r="M33" s="82"/>
    </row>
    <row r="34" spans="2:13" ht="15" x14ac:dyDescent="0.25">
      <c r="B34" s="145" t="s">
        <v>114</v>
      </c>
      <c r="C34" s="147">
        <v>2.2307692307692308</v>
      </c>
      <c r="D34" s="151"/>
      <c r="E34" s="151"/>
      <c r="F34" s="151"/>
      <c r="G34" s="151"/>
      <c r="H34" s="151"/>
      <c r="M34" s="82"/>
    </row>
    <row r="35" spans="2:13" ht="15" x14ac:dyDescent="0.25">
      <c r="B35" s="149" t="s">
        <v>126</v>
      </c>
      <c r="C35" s="148">
        <v>2.0370370370370372</v>
      </c>
      <c r="D35" s="151"/>
      <c r="E35" s="151"/>
      <c r="F35" s="151"/>
      <c r="G35" s="151"/>
      <c r="H35" s="151"/>
      <c r="M35" s="82"/>
    </row>
    <row r="36" spans="2:13" ht="15" x14ac:dyDescent="0.25">
      <c r="B36" s="149" t="s">
        <v>127</v>
      </c>
      <c r="C36" s="148">
        <v>2.1111111111111112</v>
      </c>
      <c r="D36" s="151"/>
      <c r="E36" s="151"/>
      <c r="F36" s="151"/>
      <c r="G36" s="151"/>
      <c r="H36" s="151"/>
      <c r="M36" s="82"/>
    </row>
    <row r="37" spans="2:13" ht="15" x14ac:dyDescent="0.25">
      <c r="B37" s="149" t="s">
        <v>128</v>
      </c>
      <c r="C37" s="148">
        <v>2.6296296296296298</v>
      </c>
      <c r="D37" s="151"/>
      <c r="E37" s="151"/>
      <c r="F37" s="151"/>
      <c r="G37" s="151"/>
      <c r="H37" s="151"/>
    </row>
    <row r="38" spans="2:13" ht="15" x14ac:dyDescent="0.25">
      <c r="B38" s="149" t="s">
        <v>164</v>
      </c>
      <c r="C38" s="148">
        <v>0.81481481481481477</v>
      </c>
      <c r="D38" s="151"/>
      <c r="E38" s="151"/>
      <c r="F38" s="151"/>
      <c r="G38" s="151"/>
      <c r="H38" s="151"/>
    </row>
    <row r="39" spans="2:13" ht="15" x14ac:dyDescent="0.25">
      <c r="B39" s="149" t="s">
        <v>129</v>
      </c>
      <c r="C39" s="148">
        <v>1.2222222222222223</v>
      </c>
      <c r="D39" s="151"/>
      <c r="E39" s="151"/>
      <c r="F39" s="151"/>
      <c r="G39" s="151"/>
      <c r="H39" s="151"/>
    </row>
    <row r="40" spans="2:13" ht="15" x14ac:dyDescent="0.25">
      <c r="B40" s="149" t="s">
        <v>130</v>
      </c>
      <c r="C40" s="148">
        <v>1.8518518518518519</v>
      </c>
      <c r="D40" s="151"/>
      <c r="E40" s="151"/>
      <c r="F40" s="151"/>
      <c r="G40" s="151"/>
      <c r="H40" s="151"/>
    </row>
    <row r="41" spans="2:13" ht="15" x14ac:dyDescent="0.25">
      <c r="B41" s="149" t="s">
        <v>131</v>
      </c>
      <c r="C41" s="148">
        <v>2.3333333333333335</v>
      </c>
      <c r="D41" s="151"/>
      <c r="E41" s="151"/>
      <c r="F41" s="151"/>
      <c r="G41" s="151"/>
      <c r="H41" s="151"/>
    </row>
    <row r="42" spans="2:13" ht="15" x14ac:dyDescent="0.25">
      <c r="B42" s="150" t="s">
        <v>135</v>
      </c>
      <c r="C42" s="148">
        <v>1.2962962962962963</v>
      </c>
      <c r="D42" s="151"/>
      <c r="E42" s="151"/>
      <c r="F42" s="151"/>
      <c r="G42" s="151"/>
      <c r="H42" s="151"/>
    </row>
    <row r="43" spans="2:13" ht="30" x14ac:dyDescent="0.25">
      <c r="B43" s="150" t="s">
        <v>136</v>
      </c>
      <c r="C43" s="148">
        <v>1.5555555555555556</v>
      </c>
      <c r="D43" s="151"/>
      <c r="E43" s="151"/>
      <c r="F43" s="151"/>
      <c r="G43" s="151"/>
      <c r="H43" s="151"/>
    </row>
    <row r="44" spans="2:13" ht="15" x14ac:dyDescent="0.25">
      <c r="B44" s="150" t="s">
        <v>94</v>
      </c>
      <c r="C44" s="148">
        <v>1.2962962962962963</v>
      </c>
      <c r="D44" s="151"/>
      <c r="E44" s="151"/>
      <c r="F44" s="151"/>
      <c r="G44" s="151"/>
      <c r="H44" s="151"/>
    </row>
    <row r="45" spans="2:13" ht="15" x14ac:dyDescent="0.25">
      <c r="B45" s="150" t="s">
        <v>96</v>
      </c>
      <c r="C45" s="148">
        <v>2.2592592592592591</v>
      </c>
      <c r="D45" s="151"/>
      <c r="E45" s="151"/>
      <c r="F45" s="151"/>
      <c r="G45" s="151"/>
      <c r="H45" s="151"/>
    </row>
    <row r="46" spans="2:13" ht="15" x14ac:dyDescent="0.25">
      <c r="B46" s="150" t="s">
        <v>98</v>
      </c>
      <c r="C46" s="148">
        <v>2.4074074074074074</v>
      </c>
      <c r="D46" s="151"/>
      <c r="E46" s="151"/>
      <c r="F46" s="151"/>
      <c r="G46" s="151"/>
      <c r="H46" s="151"/>
    </row>
    <row r="47" spans="2:13" ht="30" x14ac:dyDescent="0.25">
      <c r="B47" s="150" t="s">
        <v>100</v>
      </c>
      <c r="C47" s="148">
        <v>1.5555555555555556</v>
      </c>
      <c r="D47" s="151"/>
      <c r="E47" s="151"/>
      <c r="F47" s="151"/>
      <c r="G47" s="151"/>
      <c r="H47" s="151"/>
    </row>
    <row r="48" spans="2:13" x14ac:dyDescent="0.25">
      <c r="G48" s="61"/>
    </row>
    <row r="49" spans="7:7" x14ac:dyDescent="0.25">
      <c r="G49" s="61"/>
    </row>
    <row r="50" spans="7:7" x14ac:dyDescent="0.25">
      <c r="G50" s="61"/>
    </row>
    <row r="51" spans="7:7" x14ac:dyDescent="0.25">
      <c r="G51" s="61"/>
    </row>
    <row r="52" spans="7:7" x14ac:dyDescent="0.25">
      <c r="G52" s="61"/>
    </row>
    <row r="53" spans="7:7" x14ac:dyDescent="0.25">
      <c r="G53" s="61"/>
    </row>
    <row r="54" spans="7:7" x14ac:dyDescent="0.25">
      <c r="G54" s="61"/>
    </row>
    <row r="55" spans="7:7" x14ac:dyDescent="0.25">
      <c r="G55" s="61"/>
    </row>
    <row r="56" spans="7:7" x14ac:dyDescent="0.25">
      <c r="G56" s="61"/>
    </row>
    <row r="57" spans="7:7" x14ac:dyDescent="0.25">
      <c r="G57" s="61"/>
    </row>
  </sheetData>
  <mergeCells count="18">
    <mergeCell ref="D40:H40"/>
    <mergeCell ref="B30:C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7:H47"/>
    <mergeCell ref="D41:H41"/>
    <mergeCell ref="D42:H42"/>
    <mergeCell ref="D43:H43"/>
    <mergeCell ref="D44:H44"/>
    <mergeCell ref="D45:H45"/>
    <mergeCell ref="D46:H46"/>
  </mergeCells>
  <conditionalFormatting sqref="D2:G28">
    <cfRule type="cellIs" dxfId="29" priority="37" operator="lessThan">
      <formula>0.5</formula>
    </cfRule>
    <cfRule type="cellIs" dxfId="28" priority="38" operator="between">
      <formula>0.5</formula>
      <formula>0.85</formula>
    </cfRule>
    <cfRule type="cellIs" dxfId="27" priority="39" operator="greaterThan">
      <formula>0.85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A65D-CD87-41B4-9C89-29F7B6BC5710}">
  <dimension ref="A1:P43"/>
  <sheetViews>
    <sheetView topLeftCell="A5" zoomScale="70" zoomScaleNormal="70" workbookViewId="0">
      <selection activeCell="C38" sqref="C38:O40"/>
    </sheetView>
  </sheetViews>
  <sheetFormatPr defaultRowHeight="13.8" x14ac:dyDescent="0.25"/>
  <cols>
    <col min="1" max="1" width="29" style="14" bestFit="1" customWidth="1"/>
    <col min="2" max="2" width="29" bestFit="1" customWidth="1"/>
    <col min="3" max="3" width="9.5" customWidth="1"/>
    <col min="4" max="4" width="11.3984375" bestFit="1" customWidth="1"/>
    <col min="5" max="5" width="9.09765625" customWidth="1"/>
    <col min="6" max="6" width="9.3984375" customWidth="1"/>
    <col min="7" max="7" width="12.796875" customWidth="1"/>
    <col min="8" max="8" width="11.296875" customWidth="1"/>
    <col min="9" max="9" width="10.69921875" bestFit="1" customWidth="1"/>
    <col min="10" max="10" width="9.59765625" bestFit="1" customWidth="1"/>
    <col min="11" max="11" width="10.3984375" bestFit="1" customWidth="1"/>
    <col min="12" max="12" width="9.59765625" bestFit="1" customWidth="1"/>
    <col min="13" max="13" width="9.19921875" customWidth="1"/>
    <col min="14" max="14" width="13.5" bestFit="1" customWidth="1"/>
    <col min="15" max="15" width="9.5" bestFit="1" customWidth="1"/>
    <col min="16" max="16" width="28.19921875" bestFit="1" customWidth="1"/>
    <col min="17" max="17" width="36.59765625" bestFit="1" customWidth="1"/>
    <col min="18" max="18" width="33.09765625" bestFit="1" customWidth="1"/>
  </cols>
  <sheetData>
    <row r="1" spans="1:16" ht="23.4" customHeight="1" thickBot="1" x14ac:dyDescent="0.3">
      <c r="A1" s="163" t="s">
        <v>134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5"/>
    </row>
    <row r="2" spans="1:16" ht="60" customHeight="1" thickBot="1" x14ac:dyDescent="0.3">
      <c r="A2" s="67" t="s">
        <v>17</v>
      </c>
      <c r="B2" s="68" t="s">
        <v>26</v>
      </c>
      <c r="C2" s="69" t="s">
        <v>133</v>
      </c>
      <c r="D2" s="70" t="s">
        <v>113</v>
      </c>
      <c r="E2" s="70" t="s">
        <v>114</v>
      </c>
      <c r="F2" s="70" t="s">
        <v>115</v>
      </c>
      <c r="G2" s="70" t="s">
        <v>116</v>
      </c>
      <c r="H2" s="70" t="s">
        <v>117</v>
      </c>
      <c r="I2" s="70" t="s">
        <v>118</v>
      </c>
      <c r="J2" s="71" t="s">
        <v>119</v>
      </c>
      <c r="K2" s="70" t="s">
        <v>120</v>
      </c>
      <c r="L2" s="69" t="s">
        <v>121</v>
      </c>
      <c r="M2" s="70" t="s">
        <v>122</v>
      </c>
      <c r="N2" s="72" t="s">
        <v>123</v>
      </c>
      <c r="O2" s="73" t="s">
        <v>156</v>
      </c>
    </row>
    <row r="3" spans="1:16" ht="14.4" customHeight="1" x14ac:dyDescent="0.25">
      <c r="A3" s="23" t="s">
        <v>20</v>
      </c>
      <c r="B3" s="33" t="s">
        <v>31</v>
      </c>
      <c r="C3" s="16">
        <v>3</v>
      </c>
      <c r="D3" s="12">
        <v>3</v>
      </c>
      <c r="E3" s="12">
        <v>0</v>
      </c>
      <c r="F3" s="16">
        <v>3</v>
      </c>
      <c r="G3" s="16">
        <v>3</v>
      </c>
      <c r="H3" s="16">
        <v>3</v>
      </c>
      <c r="I3" s="16">
        <v>3</v>
      </c>
      <c r="J3" s="12">
        <v>2</v>
      </c>
      <c r="K3" s="16">
        <v>3</v>
      </c>
      <c r="L3" s="16">
        <v>3</v>
      </c>
      <c r="M3" s="16">
        <v>1</v>
      </c>
      <c r="N3" s="17">
        <v>3</v>
      </c>
      <c r="O3" s="54">
        <f t="shared" ref="O3:P18" si="0">AVERAGE(C3:N3)</f>
        <v>2.5</v>
      </c>
      <c r="P3" s="95"/>
    </row>
    <row r="4" spans="1:16" x14ac:dyDescent="0.25">
      <c r="A4" s="24" t="s">
        <v>20</v>
      </c>
      <c r="B4" s="34" t="s">
        <v>138</v>
      </c>
      <c r="C4" s="12">
        <v>3</v>
      </c>
      <c r="D4" s="12">
        <v>3</v>
      </c>
      <c r="E4" s="12">
        <v>3</v>
      </c>
      <c r="F4" s="12">
        <v>3</v>
      </c>
      <c r="G4" s="12">
        <v>3</v>
      </c>
      <c r="H4" s="12">
        <v>2</v>
      </c>
      <c r="I4" s="12">
        <v>3</v>
      </c>
      <c r="J4" s="12">
        <v>0</v>
      </c>
      <c r="K4" s="12">
        <v>2</v>
      </c>
      <c r="L4" s="12">
        <v>2</v>
      </c>
      <c r="M4" s="12">
        <v>3</v>
      </c>
      <c r="N4" s="27">
        <v>3</v>
      </c>
      <c r="O4" s="56">
        <f t="shared" si="0"/>
        <v>2.5</v>
      </c>
      <c r="P4" s="95"/>
    </row>
    <row r="5" spans="1:16" x14ac:dyDescent="0.25">
      <c r="A5" s="24" t="s">
        <v>20</v>
      </c>
      <c r="B5" s="34" t="s">
        <v>39</v>
      </c>
      <c r="C5" s="20">
        <v>3</v>
      </c>
      <c r="D5" s="20">
        <v>3</v>
      </c>
      <c r="E5" s="20">
        <v>3</v>
      </c>
      <c r="F5" s="20">
        <v>3</v>
      </c>
      <c r="G5" s="20">
        <v>3</v>
      </c>
      <c r="H5" s="20">
        <v>3</v>
      </c>
      <c r="I5" s="20">
        <v>3</v>
      </c>
      <c r="J5" s="12">
        <v>0</v>
      </c>
      <c r="K5" s="20">
        <v>3</v>
      </c>
      <c r="L5" s="20">
        <v>2</v>
      </c>
      <c r="M5" s="20">
        <v>3</v>
      </c>
      <c r="N5" s="28">
        <v>3</v>
      </c>
      <c r="O5" s="56">
        <f t="shared" si="0"/>
        <v>2.6666666666666665</v>
      </c>
      <c r="P5" s="95"/>
    </row>
    <row r="6" spans="1:16" x14ac:dyDescent="0.25">
      <c r="A6" s="24" t="s">
        <v>20</v>
      </c>
      <c r="B6" s="34" t="s">
        <v>9</v>
      </c>
      <c r="C6" s="5">
        <v>3</v>
      </c>
      <c r="D6" s="5">
        <v>3</v>
      </c>
      <c r="E6" s="5">
        <v>3</v>
      </c>
      <c r="F6" s="5">
        <v>3</v>
      </c>
      <c r="G6" s="5">
        <v>3</v>
      </c>
      <c r="H6" s="5">
        <v>3</v>
      </c>
      <c r="I6" s="5">
        <v>3</v>
      </c>
      <c r="J6" s="12">
        <v>0</v>
      </c>
      <c r="K6" s="5">
        <v>3</v>
      </c>
      <c r="L6" s="5">
        <v>3</v>
      </c>
      <c r="M6" s="5">
        <v>0</v>
      </c>
      <c r="N6" s="29">
        <v>3</v>
      </c>
      <c r="O6" s="56">
        <f t="shared" si="0"/>
        <v>2.5</v>
      </c>
      <c r="P6" s="95"/>
    </row>
    <row r="7" spans="1:16" ht="14.4" thickBot="1" x14ac:dyDescent="0.3">
      <c r="A7" s="25" t="s">
        <v>20</v>
      </c>
      <c r="B7" s="35" t="s">
        <v>28</v>
      </c>
      <c r="C7" s="26">
        <v>3</v>
      </c>
      <c r="D7" s="26">
        <v>3</v>
      </c>
      <c r="E7" s="26">
        <v>3</v>
      </c>
      <c r="F7" s="26">
        <v>3</v>
      </c>
      <c r="G7" s="26">
        <v>3</v>
      </c>
      <c r="H7" s="26">
        <v>3</v>
      </c>
      <c r="I7" s="26">
        <v>3</v>
      </c>
      <c r="J7" s="12">
        <v>0</v>
      </c>
      <c r="K7" s="26">
        <v>3</v>
      </c>
      <c r="L7" s="26">
        <v>3</v>
      </c>
      <c r="M7" s="26">
        <v>3</v>
      </c>
      <c r="N7" s="30">
        <v>3</v>
      </c>
      <c r="O7" s="58">
        <f t="shared" si="0"/>
        <v>2.75</v>
      </c>
      <c r="P7" s="95"/>
    </row>
    <row r="8" spans="1:16" x14ac:dyDescent="0.25">
      <c r="A8" s="23" t="s">
        <v>23</v>
      </c>
      <c r="B8" s="33" t="s">
        <v>38</v>
      </c>
      <c r="C8" s="12">
        <v>3</v>
      </c>
      <c r="D8" s="12">
        <v>3</v>
      </c>
      <c r="E8" s="12">
        <v>3</v>
      </c>
      <c r="F8" s="12">
        <v>3</v>
      </c>
      <c r="G8" s="12">
        <v>3</v>
      </c>
      <c r="H8" s="12">
        <v>3</v>
      </c>
      <c r="I8" s="12">
        <v>3</v>
      </c>
      <c r="J8" s="12">
        <v>3</v>
      </c>
      <c r="K8" s="12">
        <v>3</v>
      </c>
      <c r="L8" s="12">
        <v>3</v>
      </c>
      <c r="M8" s="12">
        <v>3</v>
      </c>
      <c r="N8" s="27">
        <v>3</v>
      </c>
      <c r="O8" s="56">
        <f t="shared" si="0"/>
        <v>3</v>
      </c>
      <c r="P8" s="95"/>
    </row>
    <row r="9" spans="1:16" x14ac:dyDescent="0.25">
      <c r="A9" s="24" t="s">
        <v>23</v>
      </c>
      <c r="B9" s="34" t="s">
        <v>11</v>
      </c>
      <c r="C9" s="12">
        <v>3</v>
      </c>
      <c r="D9" s="12">
        <v>3</v>
      </c>
      <c r="E9" s="12">
        <v>3</v>
      </c>
      <c r="F9" s="12">
        <v>3</v>
      </c>
      <c r="G9" s="12">
        <v>3</v>
      </c>
      <c r="H9" s="12">
        <v>3</v>
      </c>
      <c r="I9" s="12">
        <v>3</v>
      </c>
      <c r="J9" s="12">
        <v>0</v>
      </c>
      <c r="K9" s="12">
        <v>3</v>
      </c>
      <c r="L9" s="12">
        <v>3</v>
      </c>
      <c r="M9" s="12">
        <v>3</v>
      </c>
      <c r="N9" s="27">
        <v>3</v>
      </c>
      <c r="O9" s="56">
        <f t="shared" si="0"/>
        <v>2.75</v>
      </c>
      <c r="P9" s="95"/>
    </row>
    <row r="10" spans="1:16" x14ac:dyDescent="0.25">
      <c r="A10" s="24" t="s">
        <v>23</v>
      </c>
      <c r="B10" s="34" t="s">
        <v>44</v>
      </c>
      <c r="C10" s="20">
        <v>3</v>
      </c>
      <c r="D10" s="20">
        <v>3</v>
      </c>
      <c r="E10" s="20">
        <v>3</v>
      </c>
      <c r="F10" s="20">
        <v>3</v>
      </c>
      <c r="G10" s="20">
        <v>3</v>
      </c>
      <c r="H10" s="20">
        <v>3</v>
      </c>
      <c r="I10" s="20">
        <v>3</v>
      </c>
      <c r="J10" s="20">
        <v>3</v>
      </c>
      <c r="K10" s="20">
        <v>3</v>
      </c>
      <c r="L10" s="20">
        <v>3</v>
      </c>
      <c r="M10" s="20">
        <v>3</v>
      </c>
      <c r="N10" s="28">
        <v>3</v>
      </c>
      <c r="O10" s="56">
        <f t="shared" si="0"/>
        <v>3</v>
      </c>
      <c r="P10" s="95"/>
    </row>
    <row r="11" spans="1:16" x14ac:dyDescent="0.25">
      <c r="A11" s="24" t="s">
        <v>23</v>
      </c>
      <c r="B11" s="34" t="s">
        <v>16</v>
      </c>
      <c r="C11" s="12">
        <v>3</v>
      </c>
      <c r="D11" s="12">
        <v>3</v>
      </c>
      <c r="E11" s="12">
        <v>3</v>
      </c>
      <c r="F11" s="12">
        <v>3</v>
      </c>
      <c r="G11" s="12">
        <v>3</v>
      </c>
      <c r="H11" s="12">
        <v>3</v>
      </c>
      <c r="I11" s="12">
        <v>3</v>
      </c>
      <c r="J11" s="12">
        <v>2</v>
      </c>
      <c r="K11" s="12">
        <v>3</v>
      </c>
      <c r="L11" s="12">
        <v>3</v>
      </c>
      <c r="M11" s="12">
        <v>3</v>
      </c>
      <c r="N11" s="27">
        <v>3</v>
      </c>
      <c r="O11" s="56">
        <f t="shared" si="0"/>
        <v>2.9166666666666665</v>
      </c>
      <c r="P11" s="95"/>
    </row>
    <row r="12" spans="1:16" ht="14.4" thickBot="1" x14ac:dyDescent="0.3">
      <c r="A12" s="25" t="s">
        <v>23</v>
      </c>
      <c r="B12" s="36" t="s">
        <v>15</v>
      </c>
      <c r="C12" s="18">
        <v>3</v>
      </c>
      <c r="D12" s="18">
        <v>3</v>
      </c>
      <c r="E12" s="18">
        <v>0</v>
      </c>
      <c r="F12" s="18">
        <v>3</v>
      </c>
      <c r="G12" s="18">
        <v>3</v>
      </c>
      <c r="H12" s="18">
        <v>3</v>
      </c>
      <c r="I12" s="18">
        <v>3</v>
      </c>
      <c r="J12" s="18">
        <v>3</v>
      </c>
      <c r="K12" s="18">
        <v>3</v>
      </c>
      <c r="L12" s="18">
        <v>3</v>
      </c>
      <c r="M12" s="18">
        <v>3</v>
      </c>
      <c r="N12" s="19">
        <v>3</v>
      </c>
      <c r="O12" s="56">
        <f t="shared" si="0"/>
        <v>2.75</v>
      </c>
      <c r="P12" s="95"/>
    </row>
    <row r="13" spans="1:16" x14ac:dyDescent="0.25">
      <c r="A13" s="53" t="s">
        <v>19</v>
      </c>
      <c r="B13" s="33" t="s">
        <v>30</v>
      </c>
      <c r="C13" s="20">
        <v>3</v>
      </c>
      <c r="D13" s="20">
        <v>3</v>
      </c>
      <c r="E13" s="20">
        <v>0</v>
      </c>
      <c r="F13" s="20">
        <v>3</v>
      </c>
      <c r="G13" s="20">
        <v>3</v>
      </c>
      <c r="H13" s="20">
        <v>3</v>
      </c>
      <c r="I13" s="20">
        <v>3</v>
      </c>
      <c r="J13" s="20">
        <v>0</v>
      </c>
      <c r="K13" s="20">
        <v>3</v>
      </c>
      <c r="L13" s="20">
        <v>3</v>
      </c>
      <c r="M13" s="20">
        <v>0</v>
      </c>
      <c r="N13" s="28">
        <v>3</v>
      </c>
      <c r="O13" s="55">
        <f t="shared" si="0"/>
        <v>2.25</v>
      </c>
      <c r="P13" s="95"/>
    </row>
    <row r="14" spans="1:16" x14ac:dyDescent="0.25">
      <c r="A14" s="53" t="s">
        <v>19</v>
      </c>
      <c r="B14" s="34" t="s">
        <v>34</v>
      </c>
      <c r="C14" s="20">
        <v>3</v>
      </c>
      <c r="D14" s="20">
        <v>3</v>
      </c>
      <c r="E14" s="20">
        <v>3</v>
      </c>
      <c r="F14" s="20">
        <v>3</v>
      </c>
      <c r="G14" s="20">
        <v>3</v>
      </c>
      <c r="H14" s="20">
        <v>3</v>
      </c>
      <c r="I14" s="20">
        <v>3</v>
      </c>
      <c r="J14" s="20">
        <v>3</v>
      </c>
      <c r="K14" s="20">
        <v>3</v>
      </c>
      <c r="L14" s="20">
        <v>3</v>
      </c>
      <c r="M14" s="20">
        <v>3</v>
      </c>
      <c r="N14" s="28">
        <v>3</v>
      </c>
      <c r="O14" s="56">
        <f t="shared" si="0"/>
        <v>3</v>
      </c>
      <c r="P14" s="95"/>
    </row>
    <row r="15" spans="1:16" x14ac:dyDescent="0.25">
      <c r="A15" s="53" t="s">
        <v>19</v>
      </c>
      <c r="B15" s="34" t="s">
        <v>35</v>
      </c>
      <c r="C15" s="20">
        <v>3</v>
      </c>
      <c r="D15" s="20">
        <v>3</v>
      </c>
      <c r="E15" s="20">
        <v>3</v>
      </c>
      <c r="F15" s="20">
        <v>3</v>
      </c>
      <c r="G15" s="20">
        <v>3</v>
      </c>
      <c r="H15" s="20">
        <v>3</v>
      </c>
      <c r="I15" s="20">
        <v>3</v>
      </c>
      <c r="J15" s="20">
        <v>3</v>
      </c>
      <c r="K15" s="20">
        <v>3</v>
      </c>
      <c r="L15" s="20">
        <v>3</v>
      </c>
      <c r="M15" s="20">
        <v>3</v>
      </c>
      <c r="N15" s="28">
        <v>3</v>
      </c>
      <c r="O15" s="56">
        <f t="shared" si="0"/>
        <v>3</v>
      </c>
      <c r="P15" s="95"/>
    </row>
    <row r="16" spans="1:16" x14ac:dyDescent="0.25">
      <c r="A16" s="53" t="s">
        <v>19</v>
      </c>
      <c r="B16" s="34" t="s">
        <v>42</v>
      </c>
      <c r="C16" s="20">
        <v>3</v>
      </c>
      <c r="D16" s="20">
        <v>3</v>
      </c>
      <c r="E16" s="20">
        <v>1</v>
      </c>
      <c r="F16" s="20">
        <v>3</v>
      </c>
      <c r="G16" s="20">
        <v>3</v>
      </c>
      <c r="H16" s="20">
        <v>3</v>
      </c>
      <c r="I16" s="20">
        <v>3</v>
      </c>
      <c r="J16" s="20">
        <v>3</v>
      </c>
      <c r="K16" s="20">
        <v>3</v>
      </c>
      <c r="L16" s="20">
        <v>3</v>
      </c>
      <c r="M16" s="20">
        <v>2</v>
      </c>
      <c r="N16" s="28">
        <v>3</v>
      </c>
      <c r="O16" s="56">
        <f t="shared" si="0"/>
        <v>2.75</v>
      </c>
      <c r="P16" s="95"/>
    </row>
    <row r="17" spans="1:16" ht="14.4" thickBot="1" x14ac:dyDescent="0.3">
      <c r="A17" s="41" t="s">
        <v>19</v>
      </c>
      <c r="B17" s="36" t="s">
        <v>43</v>
      </c>
      <c r="C17" s="26">
        <v>3</v>
      </c>
      <c r="D17" s="26">
        <v>3</v>
      </c>
      <c r="E17" s="26">
        <v>3</v>
      </c>
      <c r="F17" s="26">
        <v>3</v>
      </c>
      <c r="G17" s="26">
        <v>3</v>
      </c>
      <c r="H17" s="26">
        <v>3</v>
      </c>
      <c r="I17" s="26">
        <v>3</v>
      </c>
      <c r="J17" s="26">
        <v>0</v>
      </c>
      <c r="K17" s="26">
        <v>3</v>
      </c>
      <c r="L17" s="26">
        <v>3</v>
      </c>
      <c r="M17" s="26">
        <v>2</v>
      </c>
      <c r="N17" s="30">
        <v>3</v>
      </c>
      <c r="O17" s="56">
        <f t="shared" si="0"/>
        <v>2.6666666666666665</v>
      </c>
      <c r="P17" s="95"/>
    </row>
    <row r="18" spans="1:16" x14ac:dyDescent="0.25">
      <c r="A18" s="24" t="s">
        <v>21</v>
      </c>
      <c r="B18" s="38" t="s">
        <v>32</v>
      </c>
      <c r="C18" s="21">
        <v>3</v>
      </c>
      <c r="D18" s="21">
        <v>3</v>
      </c>
      <c r="E18" s="21">
        <v>0</v>
      </c>
      <c r="F18" s="21">
        <v>3</v>
      </c>
      <c r="G18" s="21">
        <v>3</v>
      </c>
      <c r="H18" s="21">
        <v>3</v>
      </c>
      <c r="I18" s="21">
        <v>3</v>
      </c>
      <c r="J18" s="21">
        <v>1</v>
      </c>
      <c r="K18" s="21">
        <v>3</v>
      </c>
      <c r="L18" s="21">
        <v>3</v>
      </c>
      <c r="M18" s="21">
        <v>2</v>
      </c>
      <c r="N18" s="31">
        <v>3</v>
      </c>
      <c r="O18" s="55">
        <f t="shared" si="0"/>
        <v>2.5</v>
      </c>
      <c r="P18" s="95"/>
    </row>
    <row r="19" spans="1:16" x14ac:dyDescent="0.25">
      <c r="A19" s="24" t="s">
        <v>21</v>
      </c>
      <c r="B19" s="39" t="s">
        <v>36</v>
      </c>
      <c r="C19" s="21">
        <v>3</v>
      </c>
      <c r="D19" s="21">
        <v>3</v>
      </c>
      <c r="E19" s="21" t="s">
        <v>219</v>
      </c>
      <c r="F19" s="21">
        <v>3</v>
      </c>
      <c r="G19" s="21">
        <v>3</v>
      </c>
      <c r="H19" s="21">
        <v>3</v>
      </c>
      <c r="I19" s="21">
        <v>3</v>
      </c>
      <c r="J19" s="21">
        <v>1</v>
      </c>
      <c r="K19" s="21">
        <v>3</v>
      </c>
      <c r="L19" s="21">
        <v>2</v>
      </c>
      <c r="M19" s="21">
        <v>1</v>
      </c>
      <c r="N19" s="31">
        <v>3</v>
      </c>
      <c r="O19" s="56">
        <f>AVERAGE(C19:C19:D19,F19,G19,H19,I19:N19)</f>
        <v>2.5454545454545454</v>
      </c>
      <c r="P19" s="95"/>
    </row>
    <row r="20" spans="1:16" x14ac:dyDescent="0.25">
      <c r="A20" s="24" t="s">
        <v>21</v>
      </c>
      <c r="B20" s="39" t="s">
        <v>41</v>
      </c>
      <c r="C20" s="21">
        <v>3</v>
      </c>
      <c r="D20" s="21">
        <v>3</v>
      </c>
      <c r="E20" s="21">
        <v>3</v>
      </c>
      <c r="F20" s="21">
        <v>3</v>
      </c>
      <c r="G20" s="21">
        <v>3</v>
      </c>
      <c r="H20" s="21">
        <v>3</v>
      </c>
      <c r="I20" s="21">
        <v>3</v>
      </c>
      <c r="J20" s="21">
        <v>2</v>
      </c>
      <c r="K20" s="21">
        <v>3</v>
      </c>
      <c r="L20" s="21">
        <v>3</v>
      </c>
      <c r="M20" s="21">
        <v>3</v>
      </c>
      <c r="N20" s="31">
        <v>3</v>
      </c>
      <c r="O20" s="56">
        <f t="shared" ref="O20:P29" si="1">AVERAGE(C20:N20)</f>
        <v>2.9166666666666665</v>
      </c>
      <c r="P20" s="95"/>
    </row>
    <row r="21" spans="1:16" x14ac:dyDescent="0.25">
      <c r="A21" s="24" t="s">
        <v>21</v>
      </c>
      <c r="B21" s="39" t="s">
        <v>12</v>
      </c>
      <c r="C21" s="21">
        <v>3</v>
      </c>
      <c r="D21" s="21">
        <v>3</v>
      </c>
      <c r="E21" s="21">
        <v>3</v>
      </c>
      <c r="F21" s="21">
        <v>3</v>
      </c>
      <c r="G21" s="21">
        <v>3</v>
      </c>
      <c r="H21" s="21">
        <v>3</v>
      </c>
      <c r="I21" s="21">
        <v>3</v>
      </c>
      <c r="J21" s="21">
        <v>1</v>
      </c>
      <c r="K21" s="21">
        <v>3</v>
      </c>
      <c r="L21" s="21">
        <v>3</v>
      </c>
      <c r="M21" s="21">
        <v>3</v>
      </c>
      <c r="N21" s="31">
        <v>3</v>
      </c>
      <c r="O21" s="56">
        <f t="shared" si="1"/>
        <v>2.8333333333333335</v>
      </c>
      <c r="P21" s="95"/>
    </row>
    <row r="22" spans="1:16" ht="14.4" thickBot="1" x14ac:dyDescent="0.3">
      <c r="A22" s="24" t="s">
        <v>21</v>
      </c>
      <c r="B22" s="40" t="s">
        <v>45</v>
      </c>
      <c r="C22" s="22">
        <v>3</v>
      </c>
      <c r="D22" s="22">
        <v>3</v>
      </c>
      <c r="E22" s="22">
        <v>3</v>
      </c>
      <c r="F22" s="22">
        <v>3</v>
      </c>
      <c r="G22" s="22">
        <v>3</v>
      </c>
      <c r="H22" s="22">
        <v>3</v>
      </c>
      <c r="I22" s="22">
        <v>3</v>
      </c>
      <c r="J22" s="22">
        <v>1</v>
      </c>
      <c r="K22" s="22">
        <v>3</v>
      </c>
      <c r="L22" s="22">
        <v>3</v>
      </c>
      <c r="M22" s="22">
        <v>3</v>
      </c>
      <c r="N22" s="32">
        <v>3</v>
      </c>
      <c r="O22" s="56">
        <f t="shared" si="1"/>
        <v>2.8333333333333335</v>
      </c>
      <c r="P22" s="95"/>
    </row>
    <row r="23" spans="1:16" x14ac:dyDescent="0.25">
      <c r="A23" s="23" t="s">
        <v>124</v>
      </c>
      <c r="B23" s="33" t="s">
        <v>10</v>
      </c>
      <c r="C23" s="21">
        <v>3</v>
      </c>
      <c r="D23" s="21">
        <v>3</v>
      </c>
      <c r="E23" s="21">
        <v>3</v>
      </c>
      <c r="F23" s="21">
        <v>3</v>
      </c>
      <c r="G23" s="21">
        <v>3</v>
      </c>
      <c r="H23" s="21">
        <v>3</v>
      </c>
      <c r="I23" s="21">
        <v>3</v>
      </c>
      <c r="J23" s="21">
        <v>1</v>
      </c>
      <c r="K23" s="21">
        <v>3</v>
      </c>
      <c r="L23" s="21">
        <v>3</v>
      </c>
      <c r="M23" s="21">
        <v>3</v>
      </c>
      <c r="N23" s="31">
        <v>3</v>
      </c>
      <c r="O23" s="55">
        <f t="shared" si="1"/>
        <v>2.8333333333333335</v>
      </c>
      <c r="P23" s="95"/>
    </row>
    <row r="24" spans="1:16" x14ac:dyDescent="0.25">
      <c r="A24" s="24" t="s">
        <v>124</v>
      </c>
      <c r="B24" s="34" t="s">
        <v>37</v>
      </c>
      <c r="C24" s="21">
        <v>3</v>
      </c>
      <c r="D24" s="21">
        <v>3</v>
      </c>
      <c r="E24" s="21">
        <v>3</v>
      </c>
      <c r="F24" s="21">
        <v>3</v>
      </c>
      <c r="G24" s="21">
        <v>3</v>
      </c>
      <c r="H24" s="21">
        <v>3</v>
      </c>
      <c r="I24" s="21">
        <v>3</v>
      </c>
      <c r="J24" s="21">
        <v>1</v>
      </c>
      <c r="K24" s="21">
        <v>3</v>
      </c>
      <c r="L24" s="21">
        <v>3</v>
      </c>
      <c r="M24" s="21">
        <v>3</v>
      </c>
      <c r="N24" s="31">
        <v>3</v>
      </c>
      <c r="O24" s="56">
        <f t="shared" si="1"/>
        <v>2.8333333333333335</v>
      </c>
      <c r="P24" s="95"/>
    </row>
    <row r="25" spans="1:16" ht="14.4" thickBot="1" x14ac:dyDescent="0.3">
      <c r="A25" s="25" t="s">
        <v>124</v>
      </c>
      <c r="B25" s="36" t="s">
        <v>46</v>
      </c>
      <c r="C25" s="22">
        <v>3</v>
      </c>
      <c r="D25" s="22">
        <v>3</v>
      </c>
      <c r="E25" s="22">
        <v>0</v>
      </c>
      <c r="F25" s="22">
        <v>3</v>
      </c>
      <c r="G25" s="22">
        <v>3</v>
      </c>
      <c r="H25" s="22">
        <v>3</v>
      </c>
      <c r="I25" s="22">
        <v>3</v>
      </c>
      <c r="J25" s="22">
        <v>1</v>
      </c>
      <c r="K25" s="22">
        <v>3</v>
      </c>
      <c r="L25" s="22">
        <v>2</v>
      </c>
      <c r="M25" s="22">
        <v>3</v>
      </c>
      <c r="N25" s="32">
        <v>3</v>
      </c>
      <c r="O25" s="58">
        <f t="shared" si="1"/>
        <v>2.5</v>
      </c>
      <c r="P25" s="95"/>
    </row>
    <row r="26" spans="1:16" x14ac:dyDescent="0.25">
      <c r="A26" s="23" t="s">
        <v>18</v>
      </c>
      <c r="B26" s="37" t="s">
        <v>29</v>
      </c>
      <c r="C26" s="21">
        <v>3</v>
      </c>
      <c r="D26" s="21">
        <v>3</v>
      </c>
      <c r="E26" s="21">
        <v>0</v>
      </c>
      <c r="F26" s="21">
        <v>3</v>
      </c>
      <c r="G26" s="21">
        <v>3</v>
      </c>
      <c r="H26" s="21">
        <v>3</v>
      </c>
      <c r="I26" s="21">
        <v>3</v>
      </c>
      <c r="J26" s="21">
        <v>1</v>
      </c>
      <c r="K26" s="21">
        <v>3</v>
      </c>
      <c r="L26" s="21">
        <v>3</v>
      </c>
      <c r="M26" s="21">
        <v>3</v>
      </c>
      <c r="N26" s="31">
        <v>3</v>
      </c>
      <c r="O26" s="56">
        <f t="shared" si="1"/>
        <v>2.5833333333333335</v>
      </c>
      <c r="P26" s="95"/>
    </row>
    <row r="27" spans="1:16" x14ac:dyDescent="0.25">
      <c r="A27" s="24" t="s">
        <v>18</v>
      </c>
      <c r="B27" s="34" t="s">
        <v>40</v>
      </c>
      <c r="C27" s="21">
        <v>3</v>
      </c>
      <c r="D27" s="21">
        <v>3</v>
      </c>
      <c r="E27" s="21">
        <v>3</v>
      </c>
      <c r="F27" s="21">
        <v>3</v>
      </c>
      <c r="G27" s="21">
        <v>3</v>
      </c>
      <c r="H27" s="21">
        <v>2</v>
      </c>
      <c r="I27" s="21">
        <v>3</v>
      </c>
      <c r="J27" s="21">
        <v>1</v>
      </c>
      <c r="K27" s="21">
        <v>3</v>
      </c>
      <c r="L27" s="21">
        <v>3</v>
      </c>
      <c r="M27" s="21">
        <v>2</v>
      </c>
      <c r="N27" s="31">
        <v>3</v>
      </c>
      <c r="O27" s="56">
        <f t="shared" si="1"/>
        <v>2.6666666666666665</v>
      </c>
      <c r="P27" s="95"/>
    </row>
    <row r="28" spans="1:16" x14ac:dyDescent="0.25">
      <c r="A28" s="24" t="s">
        <v>18</v>
      </c>
      <c r="B28" s="34" t="s">
        <v>13</v>
      </c>
      <c r="C28" s="21">
        <v>3</v>
      </c>
      <c r="D28" s="21">
        <v>3</v>
      </c>
      <c r="E28" s="21">
        <v>3</v>
      </c>
      <c r="F28" s="21">
        <v>3</v>
      </c>
      <c r="G28" s="21">
        <v>3</v>
      </c>
      <c r="H28" s="21">
        <v>3</v>
      </c>
      <c r="I28" s="21">
        <v>3</v>
      </c>
      <c r="J28" s="21">
        <v>3</v>
      </c>
      <c r="K28" s="21">
        <v>3</v>
      </c>
      <c r="L28" s="21">
        <v>3</v>
      </c>
      <c r="M28" s="21">
        <v>3</v>
      </c>
      <c r="N28" s="31">
        <v>3</v>
      </c>
      <c r="O28" s="56">
        <f t="shared" si="1"/>
        <v>3</v>
      </c>
      <c r="P28" s="95"/>
    </row>
    <row r="29" spans="1:16" ht="14.4" thickBot="1" x14ac:dyDescent="0.3">
      <c r="A29" s="25" t="s">
        <v>18</v>
      </c>
      <c r="B29" s="36" t="s">
        <v>14</v>
      </c>
      <c r="C29" s="22">
        <v>3</v>
      </c>
      <c r="D29" s="22">
        <v>3</v>
      </c>
      <c r="E29" s="22">
        <v>3</v>
      </c>
      <c r="F29" s="22">
        <v>3</v>
      </c>
      <c r="G29" s="22">
        <v>3</v>
      </c>
      <c r="H29" s="22">
        <v>2</v>
      </c>
      <c r="I29" s="22">
        <v>3</v>
      </c>
      <c r="J29" s="22">
        <v>3</v>
      </c>
      <c r="K29" s="22">
        <v>3</v>
      </c>
      <c r="L29" s="22">
        <v>3</v>
      </c>
      <c r="M29" s="22">
        <v>3</v>
      </c>
      <c r="N29" s="32">
        <v>3</v>
      </c>
      <c r="O29" s="57">
        <f t="shared" si="1"/>
        <v>2.9166666666666665</v>
      </c>
      <c r="P29" s="95"/>
    </row>
    <row r="30" spans="1:16" x14ac:dyDescent="0.25">
      <c r="A30" s="6"/>
      <c r="B30" s="14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14"/>
    </row>
    <row r="31" spans="1:16" x14ac:dyDescent="0.25">
      <c r="G31" s="21"/>
      <c r="H31" s="21"/>
      <c r="I31" s="21"/>
      <c r="J31" s="21"/>
      <c r="K31" s="21"/>
      <c r="L31" s="21"/>
      <c r="M31" s="21"/>
      <c r="N31" s="21"/>
      <c r="O31" s="14"/>
    </row>
    <row r="32" spans="1:16" ht="15.6" x14ac:dyDescent="0.3">
      <c r="B32" s="166" t="s">
        <v>161</v>
      </c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4"/>
    </row>
    <row r="33" spans="1:15" x14ac:dyDescent="0.25">
      <c r="B33" s="45" t="s">
        <v>137</v>
      </c>
      <c r="C33">
        <f t="shared" ref="C33:N33" si="2">SUM(C3:C29)</f>
        <v>81</v>
      </c>
      <c r="D33">
        <f t="shared" si="2"/>
        <v>81</v>
      </c>
      <c r="E33">
        <f t="shared" si="2"/>
        <v>58</v>
      </c>
      <c r="F33">
        <f t="shared" si="2"/>
        <v>81</v>
      </c>
      <c r="G33">
        <f t="shared" si="2"/>
        <v>81</v>
      </c>
      <c r="H33">
        <f t="shared" si="2"/>
        <v>78</v>
      </c>
      <c r="I33">
        <f t="shared" si="2"/>
        <v>81</v>
      </c>
      <c r="J33">
        <f t="shared" si="2"/>
        <v>39</v>
      </c>
      <c r="K33">
        <f t="shared" si="2"/>
        <v>80</v>
      </c>
      <c r="L33">
        <f t="shared" si="2"/>
        <v>77</v>
      </c>
      <c r="M33">
        <f t="shared" si="2"/>
        <v>67</v>
      </c>
      <c r="N33">
        <f t="shared" si="2"/>
        <v>81</v>
      </c>
    </row>
    <row r="34" spans="1:15" x14ac:dyDescent="0.25">
      <c r="B34" s="45" t="s">
        <v>156</v>
      </c>
    </row>
    <row r="35" spans="1:15" x14ac:dyDescent="0.25">
      <c r="B35" s="14"/>
      <c r="C35">
        <f>C33/27</f>
        <v>3</v>
      </c>
      <c r="D35">
        <f>D33/27</f>
        <v>3</v>
      </c>
      <c r="E35" s="15">
        <f>E33/27</f>
        <v>2.1481481481481484</v>
      </c>
      <c r="F35">
        <f>F33/27</f>
        <v>3</v>
      </c>
      <c r="G35">
        <f>G33/27</f>
        <v>3</v>
      </c>
      <c r="H35" s="15">
        <f>H33/27</f>
        <v>2.8888888888888888</v>
      </c>
      <c r="I35">
        <f>I33/27</f>
        <v>3</v>
      </c>
      <c r="J35" s="15">
        <f>J33/27</f>
        <v>1.4444444444444444</v>
      </c>
      <c r="K35" s="15">
        <f>K33/27</f>
        <v>2.9629629629629628</v>
      </c>
      <c r="L35" s="15">
        <f>L33/27</f>
        <v>2.8518518518518516</v>
      </c>
      <c r="M35" s="15">
        <f>M33/27</f>
        <v>2.4814814814814814</v>
      </c>
      <c r="N35">
        <f>N33/27</f>
        <v>3</v>
      </c>
    </row>
    <row r="36" spans="1:15" x14ac:dyDescent="0.25">
      <c r="B36" s="14"/>
    </row>
    <row r="37" spans="1:15" x14ac:dyDescent="0.25">
      <c r="A37"/>
      <c r="B37" s="42"/>
      <c r="O37" s="43"/>
    </row>
    <row r="38" spans="1:15" x14ac:dyDescent="0.25">
      <c r="B38" s="59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spans="1:15" x14ac:dyDescent="0.25">
      <c r="B39" s="59"/>
    </row>
    <row r="40" spans="1:15" x14ac:dyDescent="0.25">
      <c r="B40" s="60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</row>
    <row r="41" spans="1:15" x14ac:dyDescent="0.25">
      <c r="B41" s="59"/>
    </row>
    <row r="42" spans="1:15" x14ac:dyDescent="0.25">
      <c r="B42" s="59"/>
    </row>
    <row r="43" spans="1:15" x14ac:dyDescent="0.25">
      <c r="B43" s="59"/>
    </row>
  </sheetData>
  <mergeCells count="2">
    <mergeCell ref="A1:O1"/>
    <mergeCell ref="B32:N32"/>
  </mergeCells>
  <conditionalFormatting sqref="C3:N29">
    <cfRule type="cellIs" dxfId="26" priority="1" operator="equal">
      <formula>0</formula>
    </cfRule>
  </conditionalFormatting>
  <conditionalFormatting sqref="C35:N35">
    <cfRule type="cellIs" dxfId="25" priority="5" operator="between">
      <formula>2</formula>
      <formula>2.8</formula>
    </cfRule>
    <cfRule type="cellIs" dxfId="24" priority="6" operator="lessThan">
      <formula>2</formula>
    </cfRule>
    <cfRule type="cellIs" dxfId="23" priority="7" operator="greaterThan">
      <formula>2.8</formula>
    </cfRule>
  </conditionalFormatting>
  <conditionalFormatting sqref="O3:O29">
    <cfRule type="cellIs" dxfId="22" priority="2" operator="greaterThan">
      <formula>2.8</formula>
    </cfRule>
    <cfRule type="cellIs" dxfId="21" priority="3" operator="lessThan">
      <formula>2</formula>
    </cfRule>
    <cfRule type="cellIs" dxfId="20" priority="8" operator="between">
      <formula>2</formula>
      <formula>2.8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64E3-00DD-4307-B345-336282F3E71B}">
  <dimension ref="A1:N36"/>
  <sheetViews>
    <sheetView zoomScale="70" zoomScaleNormal="70" workbookViewId="0">
      <selection activeCell="C35" sqref="C35:E35"/>
    </sheetView>
  </sheetViews>
  <sheetFormatPr defaultRowHeight="13.8" x14ac:dyDescent="0.25"/>
  <cols>
    <col min="1" max="1" width="29" style="14" bestFit="1" customWidth="1"/>
    <col min="2" max="2" width="29.19921875" customWidth="1"/>
    <col min="3" max="3" width="14.59765625" customWidth="1"/>
    <col min="4" max="4" width="11.296875" customWidth="1"/>
    <col min="5" max="5" width="14.3984375" customWidth="1"/>
    <col min="6" max="6" width="12.5" customWidth="1"/>
    <col min="7" max="7" width="15.796875" customWidth="1"/>
    <col min="8" max="8" width="9.296875" customWidth="1"/>
    <col min="9" max="9" width="9" customWidth="1"/>
    <col min="10" max="10" width="11.796875" customWidth="1"/>
    <col min="11" max="11" width="13.09765625" customWidth="1"/>
    <col min="12" max="12" width="11.3984375" bestFit="1" customWidth="1"/>
  </cols>
  <sheetData>
    <row r="1" spans="1:12" ht="17.399999999999999" x14ac:dyDescent="0.3">
      <c r="A1" s="169" t="s">
        <v>125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1"/>
    </row>
    <row r="2" spans="1:12" ht="45.6" thickBot="1" x14ac:dyDescent="0.3">
      <c r="A2" s="67" t="s">
        <v>17</v>
      </c>
      <c r="B2" s="74" t="s">
        <v>26</v>
      </c>
      <c r="C2" s="74" t="s">
        <v>126</v>
      </c>
      <c r="D2" s="75" t="s">
        <v>127</v>
      </c>
      <c r="E2" s="75" t="s">
        <v>128</v>
      </c>
      <c r="F2" s="75" t="s">
        <v>164</v>
      </c>
      <c r="G2" s="75" t="s">
        <v>80</v>
      </c>
      <c r="H2" s="75" t="s">
        <v>82</v>
      </c>
      <c r="I2" s="75" t="s">
        <v>129</v>
      </c>
      <c r="J2" s="75" t="s">
        <v>130</v>
      </c>
      <c r="K2" s="76" t="s">
        <v>131</v>
      </c>
      <c r="L2" s="77" t="s">
        <v>156</v>
      </c>
    </row>
    <row r="3" spans="1:12" x14ac:dyDescent="0.25">
      <c r="A3" s="23" t="s">
        <v>20</v>
      </c>
      <c r="B3" s="33" t="s">
        <v>31</v>
      </c>
      <c r="C3" s="16">
        <v>3</v>
      </c>
      <c r="D3" s="12">
        <v>2</v>
      </c>
      <c r="E3" s="12">
        <v>3</v>
      </c>
      <c r="F3" s="12">
        <v>0</v>
      </c>
      <c r="G3" s="12">
        <v>3</v>
      </c>
      <c r="H3" s="12">
        <v>2</v>
      </c>
      <c r="I3" s="12">
        <v>1</v>
      </c>
      <c r="J3" s="12">
        <v>2</v>
      </c>
      <c r="K3" s="17">
        <v>3</v>
      </c>
      <c r="L3" s="63">
        <f t="shared" ref="L3:L29" si="0">AVERAGE(C3:K3)</f>
        <v>2.1111111111111112</v>
      </c>
    </row>
    <row r="4" spans="1:12" x14ac:dyDescent="0.25">
      <c r="A4" s="24" t="s">
        <v>20</v>
      </c>
      <c r="B4" s="34" t="s">
        <v>33</v>
      </c>
      <c r="C4" s="12">
        <v>2</v>
      </c>
      <c r="D4" s="12">
        <v>2</v>
      </c>
      <c r="E4" s="12">
        <v>3</v>
      </c>
      <c r="F4" s="12">
        <v>0</v>
      </c>
      <c r="G4" s="12">
        <v>3</v>
      </c>
      <c r="H4" s="12">
        <v>2</v>
      </c>
      <c r="I4" s="12">
        <v>1</v>
      </c>
      <c r="J4" s="12">
        <v>1</v>
      </c>
      <c r="K4" s="27">
        <v>3</v>
      </c>
      <c r="L4" s="63">
        <f t="shared" si="0"/>
        <v>1.8888888888888888</v>
      </c>
    </row>
    <row r="5" spans="1:12" x14ac:dyDescent="0.25">
      <c r="A5" s="24" t="s">
        <v>20</v>
      </c>
      <c r="B5" s="34" t="s">
        <v>39</v>
      </c>
      <c r="C5" s="20">
        <v>2</v>
      </c>
      <c r="D5" s="20">
        <v>2</v>
      </c>
      <c r="E5" s="20">
        <v>3</v>
      </c>
      <c r="F5" s="20">
        <v>0</v>
      </c>
      <c r="G5" s="20" t="s">
        <v>219</v>
      </c>
      <c r="H5" s="20" t="s">
        <v>219</v>
      </c>
      <c r="I5" s="20">
        <v>1</v>
      </c>
      <c r="J5" s="20">
        <v>1</v>
      </c>
      <c r="K5" s="28">
        <v>3</v>
      </c>
      <c r="L5" s="63">
        <f>AVERAGE(C5,D5,E5,F5,I5,J5,K5)</f>
        <v>1.7142857142857142</v>
      </c>
    </row>
    <row r="6" spans="1:12" x14ac:dyDescent="0.25">
      <c r="A6" s="24" t="s">
        <v>20</v>
      </c>
      <c r="B6" s="34" t="s">
        <v>9</v>
      </c>
      <c r="C6" s="5">
        <v>2</v>
      </c>
      <c r="D6" s="5">
        <v>2</v>
      </c>
      <c r="E6" s="5">
        <v>3</v>
      </c>
      <c r="F6" s="5">
        <v>0</v>
      </c>
      <c r="G6" s="5">
        <v>3</v>
      </c>
      <c r="H6" s="5">
        <v>3</v>
      </c>
      <c r="I6" s="5">
        <v>1</v>
      </c>
      <c r="J6" s="5">
        <v>1</v>
      </c>
      <c r="K6" s="29">
        <v>3</v>
      </c>
      <c r="L6" s="63">
        <f t="shared" si="0"/>
        <v>2</v>
      </c>
    </row>
    <row r="7" spans="1:12" ht="14.4" thickBot="1" x14ac:dyDescent="0.3">
      <c r="A7" s="25" t="s">
        <v>20</v>
      </c>
      <c r="B7" s="35" t="s">
        <v>28</v>
      </c>
      <c r="C7" s="26">
        <v>2</v>
      </c>
      <c r="D7" s="26">
        <v>2</v>
      </c>
      <c r="E7" s="26">
        <v>3</v>
      </c>
      <c r="F7" s="26">
        <v>3</v>
      </c>
      <c r="G7" s="26">
        <v>3</v>
      </c>
      <c r="H7" s="26">
        <v>3</v>
      </c>
      <c r="I7" s="26">
        <v>1</v>
      </c>
      <c r="J7" s="26">
        <v>1</v>
      </c>
      <c r="K7" s="30">
        <v>3</v>
      </c>
      <c r="L7" s="64">
        <f t="shared" si="0"/>
        <v>2.3333333333333335</v>
      </c>
    </row>
    <row r="8" spans="1:12" x14ac:dyDescent="0.25">
      <c r="A8" s="23" t="s">
        <v>23</v>
      </c>
      <c r="B8" s="33" t="s">
        <v>38</v>
      </c>
      <c r="C8" s="12">
        <v>2</v>
      </c>
      <c r="D8" s="12">
        <v>2</v>
      </c>
      <c r="E8" s="12">
        <v>3</v>
      </c>
      <c r="F8" s="12">
        <v>1</v>
      </c>
      <c r="G8" s="12">
        <v>3</v>
      </c>
      <c r="H8" s="12">
        <v>3</v>
      </c>
      <c r="I8" s="12">
        <v>1</v>
      </c>
      <c r="J8" s="12">
        <v>1</v>
      </c>
      <c r="K8" s="27">
        <v>3</v>
      </c>
      <c r="L8" s="63">
        <f t="shared" si="0"/>
        <v>2.1111111111111112</v>
      </c>
    </row>
    <row r="9" spans="1:12" x14ac:dyDescent="0.25">
      <c r="A9" s="24" t="s">
        <v>23</v>
      </c>
      <c r="B9" s="34" t="s">
        <v>11</v>
      </c>
      <c r="C9" s="12">
        <v>2</v>
      </c>
      <c r="D9" s="12">
        <v>2</v>
      </c>
      <c r="E9" s="12">
        <v>3</v>
      </c>
      <c r="F9" s="12">
        <v>3</v>
      </c>
      <c r="G9" s="12">
        <v>3</v>
      </c>
      <c r="H9" s="12">
        <v>3</v>
      </c>
      <c r="I9" s="12">
        <v>1</v>
      </c>
      <c r="J9" s="12">
        <v>3</v>
      </c>
      <c r="K9" s="27">
        <v>3</v>
      </c>
      <c r="L9" s="63">
        <f t="shared" si="0"/>
        <v>2.5555555555555554</v>
      </c>
    </row>
    <row r="10" spans="1:12" x14ac:dyDescent="0.25">
      <c r="A10" s="24" t="s">
        <v>23</v>
      </c>
      <c r="B10" s="34" t="s">
        <v>44</v>
      </c>
      <c r="C10" s="20">
        <v>2</v>
      </c>
      <c r="D10" s="20">
        <v>2</v>
      </c>
      <c r="E10" s="20">
        <v>3</v>
      </c>
      <c r="F10" s="20">
        <v>0</v>
      </c>
      <c r="G10" s="20">
        <v>3</v>
      </c>
      <c r="H10" s="20">
        <v>3</v>
      </c>
      <c r="I10" s="20">
        <v>1</v>
      </c>
      <c r="J10" s="20">
        <v>3</v>
      </c>
      <c r="K10" s="28">
        <v>3</v>
      </c>
      <c r="L10" s="63">
        <f t="shared" si="0"/>
        <v>2.2222222222222223</v>
      </c>
    </row>
    <row r="11" spans="1:12" x14ac:dyDescent="0.25">
      <c r="A11" s="24" t="s">
        <v>23</v>
      </c>
      <c r="B11" s="34" t="s">
        <v>16</v>
      </c>
      <c r="C11" s="12">
        <v>2</v>
      </c>
      <c r="D11" s="12">
        <v>2</v>
      </c>
      <c r="E11" s="12">
        <v>3</v>
      </c>
      <c r="F11" s="12">
        <v>0</v>
      </c>
      <c r="G11" s="12">
        <v>3</v>
      </c>
      <c r="H11" s="12">
        <v>3</v>
      </c>
      <c r="I11" s="12">
        <v>1</v>
      </c>
      <c r="J11" s="12">
        <v>3</v>
      </c>
      <c r="K11" s="27">
        <v>3</v>
      </c>
      <c r="L11" s="63">
        <f t="shared" si="0"/>
        <v>2.2222222222222223</v>
      </c>
    </row>
    <row r="12" spans="1:12" ht="14.4" thickBot="1" x14ac:dyDescent="0.3">
      <c r="A12" s="25" t="s">
        <v>23</v>
      </c>
      <c r="B12" s="36" t="s">
        <v>15</v>
      </c>
      <c r="C12" s="18">
        <v>2</v>
      </c>
      <c r="D12" s="18">
        <v>2</v>
      </c>
      <c r="E12" s="18">
        <v>3</v>
      </c>
      <c r="F12" s="18">
        <v>0</v>
      </c>
      <c r="G12" s="18">
        <v>3</v>
      </c>
      <c r="H12" s="18">
        <v>3</v>
      </c>
      <c r="I12" s="18">
        <v>1</v>
      </c>
      <c r="J12" s="18">
        <v>3</v>
      </c>
      <c r="K12" s="19">
        <v>3</v>
      </c>
      <c r="L12" s="64">
        <f t="shared" si="0"/>
        <v>2.2222222222222223</v>
      </c>
    </row>
    <row r="13" spans="1:12" x14ac:dyDescent="0.25">
      <c r="A13" s="53" t="s">
        <v>19</v>
      </c>
      <c r="B13" s="33" t="s">
        <v>30</v>
      </c>
      <c r="C13" s="20">
        <v>2</v>
      </c>
      <c r="D13" s="20">
        <v>2</v>
      </c>
      <c r="E13" s="20">
        <v>3</v>
      </c>
      <c r="F13" s="20">
        <v>0</v>
      </c>
      <c r="G13" s="20">
        <v>3</v>
      </c>
      <c r="H13" s="20">
        <v>3</v>
      </c>
      <c r="I13" s="20">
        <v>1</v>
      </c>
      <c r="J13" s="20">
        <v>1</v>
      </c>
      <c r="K13" s="28">
        <v>3</v>
      </c>
      <c r="L13" s="63">
        <f t="shared" si="0"/>
        <v>2</v>
      </c>
    </row>
    <row r="14" spans="1:12" x14ac:dyDescent="0.25">
      <c r="A14" s="53" t="s">
        <v>19</v>
      </c>
      <c r="B14" s="34" t="s">
        <v>34</v>
      </c>
      <c r="C14" s="20">
        <v>2</v>
      </c>
      <c r="D14" s="20">
        <v>2</v>
      </c>
      <c r="E14" s="20">
        <v>3</v>
      </c>
      <c r="F14" s="20">
        <v>0</v>
      </c>
      <c r="G14" s="20">
        <v>3</v>
      </c>
      <c r="H14" s="20">
        <v>3</v>
      </c>
      <c r="I14" s="20">
        <v>1</v>
      </c>
      <c r="J14" s="20">
        <v>3</v>
      </c>
      <c r="K14" s="28">
        <v>3</v>
      </c>
      <c r="L14" s="63">
        <f t="shared" si="0"/>
        <v>2.2222222222222223</v>
      </c>
    </row>
    <row r="15" spans="1:12" x14ac:dyDescent="0.25">
      <c r="A15" s="53" t="s">
        <v>19</v>
      </c>
      <c r="B15" s="34" t="s">
        <v>35</v>
      </c>
      <c r="C15" s="20">
        <v>2</v>
      </c>
      <c r="D15" s="20">
        <v>3</v>
      </c>
      <c r="E15" s="20">
        <v>3</v>
      </c>
      <c r="F15" s="20">
        <v>0</v>
      </c>
      <c r="G15" s="20">
        <v>3</v>
      </c>
      <c r="H15" s="20">
        <v>3</v>
      </c>
      <c r="I15" s="20">
        <v>3</v>
      </c>
      <c r="J15" s="20">
        <v>3</v>
      </c>
      <c r="K15" s="28">
        <v>3</v>
      </c>
      <c r="L15" s="63">
        <f t="shared" si="0"/>
        <v>2.5555555555555554</v>
      </c>
    </row>
    <row r="16" spans="1:12" x14ac:dyDescent="0.25">
      <c r="A16" s="53" t="s">
        <v>19</v>
      </c>
      <c r="B16" s="34" t="s">
        <v>42</v>
      </c>
      <c r="C16" s="20">
        <v>2</v>
      </c>
      <c r="D16" s="20">
        <v>2</v>
      </c>
      <c r="E16" s="20">
        <v>3</v>
      </c>
      <c r="F16" s="20">
        <v>3</v>
      </c>
      <c r="G16" s="20">
        <v>3</v>
      </c>
      <c r="H16" s="20">
        <v>0</v>
      </c>
      <c r="I16" s="20">
        <v>1</v>
      </c>
      <c r="J16" s="20">
        <v>1</v>
      </c>
      <c r="K16" s="28">
        <v>3</v>
      </c>
      <c r="L16" s="63">
        <f t="shared" si="0"/>
        <v>2</v>
      </c>
    </row>
    <row r="17" spans="1:12" ht="14.4" thickBot="1" x14ac:dyDescent="0.3">
      <c r="A17" s="41" t="s">
        <v>19</v>
      </c>
      <c r="B17" s="36" t="s">
        <v>43</v>
      </c>
      <c r="C17" s="26">
        <v>2</v>
      </c>
      <c r="D17" s="26">
        <v>2</v>
      </c>
      <c r="E17" s="26">
        <v>3</v>
      </c>
      <c r="F17" s="26">
        <v>0</v>
      </c>
      <c r="G17" s="26">
        <v>3</v>
      </c>
      <c r="H17" s="26">
        <v>3</v>
      </c>
      <c r="I17" s="26">
        <v>1</v>
      </c>
      <c r="J17" s="26">
        <v>1</v>
      </c>
      <c r="K17" s="30">
        <v>3</v>
      </c>
      <c r="L17" s="63">
        <f t="shared" si="0"/>
        <v>2</v>
      </c>
    </row>
    <row r="18" spans="1:12" x14ac:dyDescent="0.25">
      <c r="A18" s="24" t="s">
        <v>21</v>
      </c>
      <c r="B18" s="38" t="s">
        <v>32</v>
      </c>
      <c r="C18" s="21">
        <v>2</v>
      </c>
      <c r="D18" s="21">
        <v>2</v>
      </c>
      <c r="E18" s="21">
        <v>3</v>
      </c>
      <c r="F18" s="21">
        <v>0</v>
      </c>
      <c r="G18" s="21">
        <v>3</v>
      </c>
      <c r="H18" s="21">
        <v>3</v>
      </c>
      <c r="I18" s="21">
        <v>1</v>
      </c>
      <c r="J18" s="21">
        <v>1</v>
      </c>
      <c r="K18" s="31">
        <v>3</v>
      </c>
      <c r="L18" s="65">
        <f t="shared" si="0"/>
        <v>2</v>
      </c>
    </row>
    <row r="19" spans="1:12" x14ac:dyDescent="0.25">
      <c r="A19" s="24" t="s">
        <v>21</v>
      </c>
      <c r="B19" s="39" t="s">
        <v>36</v>
      </c>
      <c r="C19" s="21">
        <v>2</v>
      </c>
      <c r="D19" s="21">
        <v>2</v>
      </c>
      <c r="E19" s="21">
        <v>2</v>
      </c>
      <c r="F19" s="21">
        <v>1</v>
      </c>
      <c r="G19" s="21">
        <v>3</v>
      </c>
      <c r="H19" s="21">
        <v>3</v>
      </c>
      <c r="I19" s="21">
        <v>1</v>
      </c>
      <c r="J19" s="21">
        <v>2</v>
      </c>
      <c r="K19" s="31">
        <v>1</v>
      </c>
      <c r="L19" s="63">
        <f t="shared" si="0"/>
        <v>1.8888888888888888</v>
      </c>
    </row>
    <row r="20" spans="1:12" x14ac:dyDescent="0.25">
      <c r="A20" s="24" t="s">
        <v>21</v>
      </c>
      <c r="B20" s="39" t="s">
        <v>41</v>
      </c>
      <c r="C20" s="21">
        <v>2</v>
      </c>
      <c r="D20" s="21">
        <v>2</v>
      </c>
      <c r="E20" s="21">
        <v>2</v>
      </c>
      <c r="F20" s="21">
        <v>2</v>
      </c>
      <c r="G20" s="21">
        <v>3</v>
      </c>
      <c r="H20" s="21">
        <v>3</v>
      </c>
      <c r="I20" s="21">
        <v>1</v>
      </c>
      <c r="J20" s="21">
        <v>2</v>
      </c>
      <c r="K20" s="31">
        <v>2</v>
      </c>
      <c r="L20" s="63">
        <f t="shared" si="0"/>
        <v>2.1111111111111112</v>
      </c>
    </row>
    <row r="21" spans="1:12" x14ac:dyDescent="0.25">
      <c r="A21" s="24" t="s">
        <v>21</v>
      </c>
      <c r="B21" s="39" t="s">
        <v>12</v>
      </c>
      <c r="C21" s="21">
        <v>2</v>
      </c>
      <c r="D21" s="21">
        <v>2</v>
      </c>
      <c r="E21" s="21">
        <v>2</v>
      </c>
      <c r="F21" s="21">
        <v>1</v>
      </c>
      <c r="G21" s="21">
        <v>3</v>
      </c>
      <c r="H21" s="21">
        <v>3</v>
      </c>
      <c r="I21" s="21">
        <v>1</v>
      </c>
      <c r="J21" s="21">
        <v>2</v>
      </c>
      <c r="K21" s="31">
        <v>1</v>
      </c>
      <c r="L21" s="63">
        <f t="shared" si="0"/>
        <v>1.8888888888888888</v>
      </c>
    </row>
    <row r="22" spans="1:12" ht="14.4" thickBot="1" x14ac:dyDescent="0.3">
      <c r="A22" s="24" t="s">
        <v>21</v>
      </c>
      <c r="B22" s="40" t="s">
        <v>45</v>
      </c>
      <c r="C22" s="22">
        <v>2</v>
      </c>
      <c r="D22" s="22">
        <v>2</v>
      </c>
      <c r="E22" s="22">
        <v>2</v>
      </c>
      <c r="F22" s="22">
        <v>1</v>
      </c>
      <c r="G22" s="22">
        <v>3</v>
      </c>
      <c r="H22" s="22">
        <v>3</v>
      </c>
      <c r="I22" s="22">
        <v>1</v>
      </c>
      <c r="J22" s="22">
        <v>2</v>
      </c>
      <c r="K22" s="32">
        <v>1</v>
      </c>
      <c r="L22" s="64">
        <f t="shared" si="0"/>
        <v>1.8888888888888888</v>
      </c>
    </row>
    <row r="23" spans="1:12" x14ac:dyDescent="0.25">
      <c r="A23" s="23" t="s">
        <v>124</v>
      </c>
      <c r="B23" s="33" t="s">
        <v>10</v>
      </c>
      <c r="C23" s="21">
        <v>2</v>
      </c>
      <c r="D23" s="21">
        <v>2</v>
      </c>
      <c r="E23" s="21">
        <v>2</v>
      </c>
      <c r="F23" s="21">
        <v>1</v>
      </c>
      <c r="G23" s="21">
        <v>3</v>
      </c>
      <c r="H23" s="21">
        <v>3</v>
      </c>
      <c r="I23" s="21">
        <v>1</v>
      </c>
      <c r="J23" s="21">
        <v>2</v>
      </c>
      <c r="K23" s="31">
        <v>2</v>
      </c>
      <c r="L23" s="63">
        <f t="shared" si="0"/>
        <v>2</v>
      </c>
    </row>
    <row r="24" spans="1:12" x14ac:dyDescent="0.25">
      <c r="A24" s="24" t="s">
        <v>124</v>
      </c>
      <c r="B24" s="34" t="s">
        <v>37</v>
      </c>
      <c r="C24" s="21">
        <v>2</v>
      </c>
      <c r="D24" s="21">
        <v>2</v>
      </c>
      <c r="E24" s="21">
        <v>2</v>
      </c>
      <c r="F24" s="21">
        <v>1</v>
      </c>
      <c r="G24" s="21">
        <v>3</v>
      </c>
      <c r="H24" s="21">
        <v>3</v>
      </c>
      <c r="I24" s="21">
        <v>1</v>
      </c>
      <c r="J24" s="21">
        <v>2</v>
      </c>
      <c r="K24" s="31">
        <v>1</v>
      </c>
      <c r="L24" s="63">
        <f t="shared" si="0"/>
        <v>1.8888888888888888</v>
      </c>
    </row>
    <row r="25" spans="1:12" ht="14.4" thickBot="1" x14ac:dyDescent="0.3">
      <c r="A25" s="25" t="s">
        <v>124</v>
      </c>
      <c r="B25" s="36" t="s">
        <v>46</v>
      </c>
      <c r="C25" s="22">
        <v>2</v>
      </c>
      <c r="D25" s="22">
        <v>2</v>
      </c>
      <c r="E25" s="22">
        <v>2</v>
      </c>
      <c r="F25" s="22">
        <v>1</v>
      </c>
      <c r="G25" s="22">
        <v>3</v>
      </c>
      <c r="H25" s="22">
        <v>3</v>
      </c>
      <c r="I25" s="22">
        <v>1</v>
      </c>
      <c r="J25" s="22">
        <v>1</v>
      </c>
      <c r="K25" s="32">
        <v>1</v>
      </c>
      <c r="L25" s="63">
        <f t="shared" si="0"/>
        <v>1.7777777777777777</v>
      </c>
    </row>
    <row r="26" spans="1:12" x14ac:dyDescent="0.25">
      <c r="A26" s="23" t="s">
        <v>18</v>
      </c>
      <c r="B26" s="37" t="s">
        <v>29</v>
      </c>
      <c r="C26" s="21">
        <v>2</v>
      </c>
      <c r="D26" s="21">
        <v>2</v>
      </c>
      <c r="E26" s="21">
        <v>2</v>
      </c>
      <c r="F26" s="21">
        <v>1</v>
      </c>
      <c r="G26" s="21">
        <v>3</v>
      </c>
      <c r="H26" s="21">
        <v>3</v>
      </c>
      <c r="I26" s="21">
        <v>2</v>
      </c>
      <c r="J26" s="21">
        <v>1</v>
      </c>
      <c r="K26" s="31">
        <v>1</v>
      </c>
      <c r="L26" s="65">
        <f t="shared" si="0"/>
        <v>1.8888888888888888</v>
      </c>
    </row>
    <row r="27" spans="1:12" x14ac:dyDescent="0.25">
      <c r="A27" s="24" t="s">
        <v>18</v>
      </c>
      <c r="B27" s="34" t="s">
        <v>40</v>
      </c>
      <c r="C27" s="21">
        <v>2</v>
      </c>
      <c r="D27" s="21">
        <v>3</v>
      </c>
      <c r="E27" s="21">
        <v>2</v>
      </c>
      <c r="F27" s="21">
        <v>1</v>
      </c>
      <c r="G27" s="21">
        <v>3</v>
      </c>
      <c r="H27" s="21">
        <v>3</v>
      </c>
      <c r="I27" s="21">
        <v>1</v>
      </c>
      <c r="J27" s="21">
        <v>2</v>
      </c>
      <c r="K27" s="31">
        <v>3</v>
      </c>
      <c r="L27" s="63">
        <f t="shared" si="0"/>
        <v>2.2222222222222223</v>
      </c>
    </row>
    <row r="28" spans="1:12" x14ac:dyDescent="0.25">
      <c r="A28" s="24" t="s">
        <v>18</v>
      </c>
      <c r="B28" s="34" t="s">
        <v>13</v>
      </c>
      <c r="C28" s="21">
        <v>2</v>
      </c>
      <c r="D28" s="21">
        <v>3</v>
      </c>
      <c r="E28" s="21">
        <v>2</v>
      </c>
      <c r="F28" s="21">
        <v>1</v>
      </c>
      <c r="G28" s="21">
        <v>3</v>
      </c>
      <c r="H28" s="21">
        <v>3</v>
      </c>
      <c r="I28" s="21">
        <v>2</v>
      </c>
      <c r="J28" s="21">
        <v>2</v>
      </c>
      <c r="K28" s="31">
        <v>1</v>
      </c>
      <c r="L28" s="63">
        <f t="shared" si="0"/>
        <v>2.1111111111111112</v>
      </c>
    </row>
    <row r="29" spans="1:12" ht="14.4" thickBot="1" x14ac:dyDescent="0.3">
      <c r="A29" s="25" t="s">
        <v>18</v>
      </c>
      <c r="B29" s="36" t="s">
        <v>14</v>
      </c>
      <c r="C29" s="22">
        <v>2</v>
      </c>
      <c r="D29" s="22">
        <v>2</v>
      </c>
      <c r="E29" s="22">
        <v>3</v>
      </c>
      <c r="F29" s="22">
        <v>1</v>
      </c>
      <c r="G29" s="22">
        <v>3</v>
      </c>
      <c r="H29" s="22">
        <v>3</v>
      </c>
      <c r="I29" s="22">
        <v>3</v>
      </c>
      <c r="J29" s="22">
        <v>3</v>
      </c>
      <c r="K29" s="32">
        <v>2</v>
      </c>
      <c r="L29" s="64">
        <f t="shared" si="0"/>
        <v>2.4444444444444446</v>
      </c>
    </row>
    <row r="30" spans="1:12" x14ac:dyDescent="0.25">
      <c r="A30" s="6"/>
      <c r="L30" s="62"/>
    </row>
    <row r="31" spans="1:12" x14ac:dyDescent="0.25">
      <c r="A31"/>
    </row>
    <row r="33" spans="1:14" ht="15.6" x14ac:dyDescent="0.3">
      <c r="B33" s="168" t="s">
        <v>162</v>
      </c>
      <c r="C33" s="168"/>
      <c r="D33" s="168"/>
      <c r="E33" s="168"/>
      <c r="F33" s="168"/>
      <c r="G33" s="168"/>
      <c r="H33" s="168"/>
      <c r="I33" s="168"/>
      <c r="J33" s="168"/>
      <c r="K33" s="168"/>
      <c r="L33" s="66"/>
      <c r="M33" s="66"/>
      <c r="N33" s="66"/>
    </row>
    <row r="34" spans="1:14" x14ac:dyDescent="0.25">
      <c r="B34" t="s">
        <v>137</v>
      </c>
      <c r="C34">
        <f>SUM(C3:C29)</f>
        <v>55</v>
      </c>
      <c r="D34">
        <f>SUM(D3:D29)</f>
        <v>57</v>
      </c>
      <c r="E34">
        <f t="shared" ref="E34:K34" si="1">SUM(E3:E29)</f>
        <v>71</v>
      </c>
      <c r="F34">
        <f t="shared" si="1"/>
        <v>22</v>
      </c>
      <c r="G34">
        <f t="shared" si="1"/>
        <v>78</v>
      </c>
      <c r="H34">
        <f t="shared" si="1"/>
        <v>73</v>
      </c>
      <c r="I34">
        <f t="shared" si="1"/>
        <v>33</v>
      </c>
      <c r="J34">
        <f t="shared" si="1"/>
        <v>50</v>
      </c>
      <c r="K34">
        <f t="shared" si="1"/>
        <v>64</v>
      </c>
    </row>
    <row r="35" spans="1:14" x14ac:dyDescent="0.25">
      <c r="B35" t="s">
        <v>156</v>
      </c>
      <c r="C35" s="61">
        <f>AVERAGE(C3:C29)</f>
        <v>2.0370370370370372</v>
      </c>
      <c r="D35" s="61">
        <f t="shared" ref="D35:K35" si="2">AVERAGE(D3:D29)</f>
        <v>2.1111111111111112</v>
      </c>
      <c r="E35" s="61">
        <f t="shared" si="2"/>
        <v>2.6296296296296298</v>
      </c>
      <c r="F35" s="61">
        <f>AVERAGE(F3:F29)</f>
        <v>0.81481481481481477</v>
      </c>
      <c r="G35" s="61">
        <f t="shared" si="2"/>
        <v>3</v>
      </c>
      <c r="H35" s="61">
        <f t="shared" si="2"/>
        <v>2.8076923076923075</v>
      </c>
      <c r="I35" s="61">
        <f t="shared" si="2"/>
        <v>1.2222222222222223</v>
      </c>
      <c r="J35" s="61">
        <f t="shared" si="2"/>
        <v>1.8518518518518519</v>
      </c>
      <c r="K35" s="61">
        <f t="shared" si="2"/>
        <v>2.3703703703703702</v>
      </c>
    </row>
    <row r="36" spans="1:14" x14ac:dyDescent="0.25">
      <c r="A36"/>
    </row>
  </sheetData>
  <mergeCells count="2">
    <mergeCell ref="B33:K33"/>
    <mergeCell ref="A1:L1"/>
  </mergeCells>
  <conditionalFormatting sqref="C3:K29">
    <cfRule type="cellIs" dxfId="13" priority="2" operator="equal">
      <formula>0</formula>
    </cfRule>
  </conditionalFormatting>
  <conditionalFormatting sqref="C35:K35">
    <cfRule type="cellIs" dxfId="12" priority="6" operator="between">
      <formula>2</formula>
      <formula>2.8</formula>
    </cfRule>
    <cfRule type="cellIs" dxfId="11" priority="7" operator="lessThan">
      <formula>2</formula>
    </cfRule>
    <cfRule type="cellIs" dxfId="10" priority="10" operator="greaterThan">
      <formula>2.8</formula>
    </cfRule>
  </conditionalFormatting>
  <conditionalFormatting sqref="L3:L29">
    <cfRule type="cellIs" dxfId="9" priority="3" operator="lessThan">
      <formula>2</formula>
    </cfRule>
    <cfRule type="cellIs" dxfId="8" priority="4" operator="between">
      <formula>2</formula>
      <formula>2.8</formula>
    </cfRule>
    <cfRule type="cellIs" dxfId="7" priority="5" operator="greaterThan">
      <formula>2.8</formula>
    </cfRule>
  </conditionalFormatting>
  <pageMargins left="0.7" right="0.7" top="0.75" bottom="0.75" header="0.3" footer="0.3"/>
  <ignoredErrors>
    <ignoredError sqref="L5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3738-7C60-4A20-823C-0DD1816288C8}">
  <dimension ref="A1:O34"/>
  <sheetViews>
    <sheetView zoomScale="80" zoomScaleNormal="80" workbookViewId="0">
      <selection activeCell="C2" sqref="C2:H2"/>
    </sheetView>
  </sheetViews>
  <sheetFormatPr defaultRowHeight="13.8" x14ac:dyDescent="0.25"/>
  <cols>
    <col min="1" max="1" width="28.796875" bestFit="1" customWidth="1"/>
    <col min="2" max="2" width="27.5" bestFit="1" customWidth="1"/>
    <col min="3" max="3" width="12.5" bestFit="1" customWidth="1"/>
    <col min="4" max="4" width="11.3984375" customWidth="1"/>
    <col min="5" max="5" width="9.69921875" customWidth="1"/>
    <col min="6" max="6" width="14" customWidth="1"/>
    <col min="7" max="7" width="10.19921875" customWidth="1"/>
    <col min="8" max="8" width="12.5" customWidth="1"/>
    <col min="9" max="9" width="10.296875" customWidth="1"/>
    <col min="10" max="10" width="10.3984375" bestFit="1" customWidth="1"/>
    <col min="13" max="13" width="16.3984375" bestFit="1" customWidth="1"/>
    <col min="14" max="14" width="23.5" bestFit="1" customWidth="1"/>
    <col min="15" max="15" width="14.3984375" bestFit="1" customWidth="1"/>
    <col min="16" max="16" width="20.5" bestFit="1" customWidth="1"/>
    <col min="17" max="17" width="13.09765625" bestFit="1" customWidth="1"/>
    <col min="18" max="18" width="30.59765625" bestFit="1" customWidth="1"/>
    <col min="19" max="19" width="11.3984375" bestFit="1" customWidth="1"/>
    <col min="20" max="20" width="23.69921875" bestFit="1" customWidth="1"/>
    <col min="21" max="21" width="14" bestFit="1" customWidth="1"/>
    <col min="22" max="22" width="17.19921875" bestFit="1" customWidth="1"/>
    <col min="23" max="23" width="18.09765625" bestFit="1" customWidth="1"/>
    <col min="24" max="24" width="11.59765625" bestFit="1" customWidth="1"/>
    <col min="25" max="25" width="18.69921875" bestFit="1" customWidth="1"/>
    <col min="26" max="26" width="10.09765625" bestFit="1" customWidth="1"/>
    <col min="27" max="27" width="7.296875" bestFit="1" customWidth="1"/>
    <col min="28" max="28" width="9.8984375" bestFit="1" customWidth="1"/>
    <col min="29" max="29" width="16" bestFit="1" customWidth="1"/>
    <col min="30" max="30" width="20.5" bestFit="1" customWidth="1"/>
    <col min="31" max="31" width="13.09765625" bestFit="1" customWidth="1"/>
    <col min="32" max="32" width="23.19921875" bestFit="1" customWidth="1"/>
    <col min="33" max="33" width="17.69921875" bestFit="1" customWidth="1"/>
    <col min="34" max="34" width="28.69921875" bestFit="1" customWidth="1"/>
    <col min="35" max="35" width="25.5" bestFit="1" customWidth="1"/>
    <col min="36" max="36" width="30.59765625" bestFit="1" customWidth="1"/>
    <col min="37" max="37" width="9.8984375" bestFit="1" customWidth="1"/>
    <col min="38" max="38" width="14.19921875" bestFit="1" customWidth="1"/>
    <col min="39" max="39" width="17.69921875" bestFit="1" customWidth="1"/>
    <col min="40" max="40" width="6" bestFit="1" customWidth="1"/>
    <col min="41" max="41" width="11.3984375" bestFit="1" customWidth="1"/>
  </cols>
  <sheetData>
    <row r="1" spans="1:15" ht="17.399999999999999" x14ac:dyDescent="0.3">
      <c r="A1" s="169" t="s">
        <v>132</v>
      </c>
      <c r="B1" s="170"/>
      <c r="C1" s="170"/>
      <c r="D1" s="170"/>
      <c r="E1" s="170"/>
      <c r="F1" s="170"/>
      <c r="G1" s="170"/>
      <c r="H1" s="170"/>
      <c r="I1" s="170"/>
      <c r="J1" s="171"/>
    </row>
    <row r="2" spans="1:15" s="7" customFormat="1" ht="75.599999999999994" thickBot="1" x14ac:dyDescent="0.3">
      <c r="A2" s="67" t="s">
        <v>17</v>
      </c>
      <c r="B2" s="78" t="s">
        <v>26</v>
      </c>
      <c r="C2" s="79" t="s">
        <v>135</v>
      </c>
      <c r="D2" s="80" t="s">
        <v>136</v>
      </c>
      <c r="E2" s="80" t="s">
        <v>94</v>
      </c>
      <c r="F2" s="74" t="s">
        <v>96</v>
      </c>
      <c r="G2" s="74" t="s">
        <v>98</v>
      </c>
      <c r="H2" s="74" t="s">
        <v>100</v>
      </c>
      <c r="I2" s="81" t="s">
        <v>102</v>
      </c>
      <c r="J2" s="77" t="s">
        <v>156</v>
      </c>
      <c r="M2"/>
      <c r="N2"/>
      <c r="O2"/>
    </row>
    <row r="3" spans="1:15" x14ac:dyDescent="0.25">
      <c r="A3" s="23" t="s">
        <v>20</v>
      </c>
      <c r="B3" s="33" t="s">
        <v>31</v>
      </c>
      <c r="C3" s="16">
        <v>2</v>
      </c>
      <c r="D3" s="16">
        <v>1</v>
      </c>
      <c r="E3" s="16">
        <v>1</v>
      </c>
      <c r="F3" s="16">
        <v>3</v>
      </c>
      <c r="G3" s="16">
        <v>2</v>
      </c>
      <c r="H3" s="16">
        <v>1</v>
      </c>
      <c r="I3" s="17">
        <v>3</v>
      </c>
      <c r="J3" s="63">
        <f>AVERAGE(C3:I3)</f>
        <v>1.8571428571428572</v>
      </c>
    </row>
    <row r="4" spans="1:15" x14ac:dyDescent="0.25">
      <c r="A4" s="24" t="s">
        <v>20</v>
      </c>
      <c r="B4" s="34" t="s">
        <v>33</v>
      </c>
      <c r="C4" s="12">
        <v>1</v>
      </c>
      <c r="D4" s="12">
        <v>1</v>
      </c>
      <c r="E4" s="12">
        <v>3</v>
      </c>
      <c r="F4" s="12">
        <v>3</v>
      </c>
      <c r="G4" s="12">
        <v>2</v>
      </c>
      <c r="H4" s="12">
        <v>1</v>
      </c>
      <c r="I4" s="27">
        <v>3</v>
      </c>
      <c r="J4" s="63">
        <f t="shared" ref="J4:J29" si="0">AVERAGE(C4:I4)</f>
        <v>2</v>
      </c>
    </row>
    <row r="5" spans="1:15" x14ac:dyDescent="0.25">
      <c r="A5" s="24" t="s">
        <v>20</v>
      </c>
      <c r="B5" s="34" t="s">
        <v>39</v>
      </c>
      <c r="C5" s="20">
        <v>1</v>
      </c>
      <c r="D5" s="20">
        <v>1</v>
      </c>
      <c r="E5" s="20">
        <v>1</v>
      </c>
      <c r="F5" s="20">
        <v>3</v>
      </c>
      <c r="G5" s="20">
        <v>3</v>
      </c>
      <c r="H5" s="20">
        <v>1</v>
      </c>
      <c r="I5" s="28">
        <v>3</v>
      </c>
      <c r="J5" s="63">
        <f t="shared" si="0"/>
        <v>1.8571428571428572</v>
      </c>
    </row>
    <row r="6" spans="1:15" x14ac:dyDescent="0.25">
      <c r="A6" s="24" t="s">
        <v>20</v>
      </c>
      <c r="B6" s="34" t="s">
        <v>9</v>
      </c>
      <c r="C6" s="5">
        <v>3</v>
      </c>
      <c r="D6" s="5">
        <v>1</v>
      </c>
      <c r="E6" s="5">
        <v>1</v>
      </c>
      <c r="F6" s="5">
        <v>3</v>
      </c>
      <c r="G6" s="5">
        <v>3</v>
      </c>
      <c r="H6" s="5">
        <v>1</v>
      </c>
      <c r="I6" s="29">
        <v>3</v>
      </c>
      <c r="J6" s="63">
        <f t="shared" si="0"/>
        <v>2.1428571428571428</v>
      </c>
    </row>
    <row r="7" spans="1:15" ht="14.4" thickBot="1" x14ac:dyDescent="0.3">
      <c r="A7" s="25" t="s">
        <v>20</v>
      </c>
      <c r="B7" s="35" t="s">
        <v>28</v>
      </c>
      <c r="C7" s="26">
        <v>3</v>
      </c>
      <c r="D7" s="26">
        <v>1</v>
      </c>
      <c r="E7" s="26">
        <v>1</v>
      </c>
      <c r="F7" s="26">
        <v>3</v>
      </c>
      <c r="G7" s="26">
        <v>3</v>
      </c>
      <c r="H7" s="26">
        <v>1</v>
      </c>
      <c r="I7" s="30">
        <v>3</v>
      </c>
      <c r="J7" s="63">
        <f t="shared" si="0"/>
        <v>2.1428571428571428</v>
      </c>
    </row>
    <row r="8" spans="1:15" x14ac:dyDescent="0.25">
      <c r="A8" s="23" t="s">
        <v>23</v>
      </c>
      <c r="B8" s="33" t="s">
        <v>38</v>
      </c>
      <c r="C8" s="12">
        <v>1</v>
      </c>
      <c r="D8" s="12">
        <v>1</v>
      </c>
      <c r="E8" s="12">
        <v>1</v>
      </c>
      <c r="F8" s="12">
        <v>3</v>
      </c>
      <c r="G8" s="12">
        <v>2</v>
      </c>
      <c r="H8" s="12">
        <v>1</v>
      </c>
      <c r="I8" s="27">
        <v>3</v>
      </c>
      <c r="J8" s="65">
        <f t="shared" si="0"/>
        <v>1.7142857142857142</v>
      </c>
    </row>
    <row r="9" spans="1:15" x14ac:dyDescent="0.25">
      <c r="A9" s="24" t="s">
        <v>23</v>
      </c>
      <c r="B9" s="34" t="s">
        <v>11</v>
      </c>
      <c r="C9" s="12">
        <v>1</v>
      </c>
      <c r="D9" s="12">
        <v>1</v>
      </c>
      <c r="E9" s="12">
        <v>1</v>
      </c>
      <c r="F9" s="12">
        <v>3</v>
      </c>
      <c r="G9" s="12">
        <v>3</v>
      </c>
      <c r="H9" s="12">
        <v>1</v>
      </c>
      <c r="I9" s="27">
        <v>3</v>
      </c>
      <c r="J9" s="63">
        <f t="shared" si="0"/>
        <v>1.8571428571428572</v>
      </c>
    </row>
    <row r="10" spans="1:15" x14ac:dyDescent="0.25">
      <c r="A10" s="24" t="s">
        <v>23</v>
      </c>
      <c r="B10" s="34" t="s">
        <v>44</v>
      </c>
      <c r="C10" s="20">
        <v>1</v>
      </c>
      <c r="D10" s="20">
        <v>1</v>
      </c>
      <c r="E10" s="20">
        <v>1</v>
      </c>
      <c r="F10" s="20">
        <v>3</v>
      </c>
      <c r="G10" s="20">
        <v>3</v>
      </c>
      <c r="H10" s="20">
        <v>1</v>
      </c>
      <c r="I10" s="28">
        <v>3</v>
      </c>
      <c r="J10" s="63">
        <f t="shared" si="0"/>
        <v>1.8571428571428572</v>
      </c>
    </row>
    <row r="11" spans="1:15" x14ac:dyDescent="0.25">
      <c r="A11" s="24" t="s">
        <v>23</v>
      </c>
      <c r="B11" s="34" t="s">
        <v>16</v>
      </c>
      <c r="C11" s="12">
        <v>1</v>
      </c>
      <c r="D11" s="12">
        <v>1</v>
      </c>
      <c r="E11" s="12">
        <v>1</v>
      </c>
      <c r="F11" s="12">
        <v>3</v>
      </c>
      <c r="G11" s="12">
        <v>3</v>
      </c>
      <c r="H11" s="12">
        <v>1</v>
      </c>
      <c r="I11" s="27">
        <v>3</v>
      </c>
      <c r="J11" s="63">
        <f t="shared" si="0"/>
        <v>1.8571428571428572</v>
      </c>
    </row>
    <row r="12" spans="1:15" ht="14.4" thickBot="1" x14ac:dyDescent="0.3">
      <c r="A12" s="25" t="s">
        <v>23</v>
      </c>
      <c r="B12" s="36" t="s">
        <v>15</v>
      </c>
      <c r="C12" s="18">
        <v>1</v>
      </c>
      <c r="D12" s="18">
        <v>1</v>
      </c>
      <c r="E12" s="18">
        <v>1</v>
      </c>
      <c r="F12" s="18">
        <v>3</v>
      </c>
      <c r="G12" s="18">
        <v>3</v>
      </c>
      <c r="H12" s="18">
        <v>1</v>
      </c>
      <c r="I12" s="19">
        <v>3</v>
      </c>
      <c r="J12" s="64">
        <f t="shared" si="0"/>
        <v>1.8571428571428572</v>
      </c>
    </row>
    <row r="13" spans="1:15" x14ac:dyDescent="0.25">
      <c r="A13" s="53" t="s">
        <v>19</v>
      </c>
      <c r="B13" s="33" t="s">
        <v>30</v>
      </c>
      <c r="C13" s="20">
        <v>1</v>
      </c>
      <c r="D13" s="20">
        <v>1</v>
      </c>
      <c r="E13" s="20">
        <v>1</v>
      </c>
      <c r="F13" s="20">
        <v>3</v>
      </c>
      <c r="G13" s="20">
        <v>2</v>
      </c>
      <c r="H13" s="20">
        <v>1</v>
      </c>
      <c r="I13" s="28">
        <v>3</v>
      </c>
      <c r="J13" s="63">
        <f t="shared" si="0"/>
        <v>1.7142857142857142</v>
      </c>
    </row>
    <row r="14" spans="1:15" x14ac:dyDescent="0.25">
      <c r="A14" s="53" t="s">
        <v>19</v>
      </c>
      <c r="B14" s="34" t="s">
        <v>34</v>
      </c>
      <c r="C14" s="20">
        <v>1</v>
      </c>
      <c r="D14" s="20">
        <v>3</v>
      </c>
      <c r="E14" s="20">
        <v>3</v>
      </c>
      <c r="F14" s="20">
        <v>3</v>
      </c>
      <c r="G14" s="20">
        <v>3</v>
      </c>
      <c r="H14" s="20">
        <v>3</v>
      </c>
      <c r="I14" s="28">
        <v>3</v>
      </c>
      <c r="J14" s="63">
        <f t="shared" si="0"/>
        <v>2.7142857142857144</v>
      </c>
    </row>
    <row r="15" spans="1:15" x14ac:dyDescent="0.25">
      <c r="A15" s="53" t="s">
        <v>19</v>
      </c>
      <c r="B15" s="34" t="s">
        <v>35</v>
      </c>
      <c r="C15" s="20">
        <v>1</v>
      </c>
      <c r="D15" s="20">
        <v>3</v>
      </c>
      <c r="E15" s="20">
        <v>3</v>
      </c>
      <c r="F15" s="20">
        <v>3</v>
      </c>
      <c r="G15" s="20">
        <v>3</v>
      </c>
      <c r="H15" s="20">
        <v>3</v>
      </c>
      <c r="I15" s="28">
        <v>3</v>
      </c>
      <c r="J15" s="63">
        <f t="shared" si="0"/>
        <v>2.7142857142857144</v>
      </c>
    </row>
    <row r="16" spans="1:15" x14ac:dyDescent="0.25">
      <c r="A16" s="53" t="s">
        <v>19</v>
      </c>
      <c r="B16" s="34" t="s">
        <v>42</v>
      </c>
      <c r="C16" s="20">
        <v>1</v>
      </c>
      <c r="D16" s="20">
        <v>1</v>
      </c>
      <c r="E16" s="20">
        <v>1</v>
      </c>
      <c r="F16" s="20">
        <v>3</v>
      </c>
      <c r="G16" s="20">
        <v>2</v>
      </c>
      <c r="H16" s="20">
        <v>1</v>
      </c>
      <c r="I16" s="28">
        <v>3</v>
      </c>
      <c r="J16" s="63">
        <f t="shared" si="0"/>
        <v>1.7142857142857142</v>
      </c>
    </row>
    <row r="17" spans="1:12" ht="14.4" thickBot="1" x14ac:dyDescent="0.3">
      <c r="A17" s="41" t="s">
        <v>19</v>
      </c>
      <c r="B17" s="36" t="s">
        <v>43</v>
      </c>
      <c r="C17" s="26">
        <v>1</v>
      </c>
      <c r="D17" s="26">
        <v>1</v>
      </c>
      <c r="E17" s="26">
        <v>1</v>
      </c>
      <c r="F17" s="26">
        <v>3</v>
      </c>
      <c r="G17" s="26">
        <v>3</v>
      </c>
      <c r="H17" s="26">
        <v>1</v>
      </c>
      <c r="I17" s="30">
        <v>3</v>
      </c>
      <c r="J17" s="64">
        <f t="shared" si="0"/>
        <v>1.8571428571428572</v>
      </c>
    </row>
    <row r="18" spans="1:12" x14ac:dyDescent="0.25">
      <c r="A18" s="24" t="s">
        <v>21</v>
      </c>
      <c r="B18" s="38" t="s">
        <v>32</v>
      </c>
      <c r="C18" s="21">
        <v>1</v>
      </c>
      <c r="D18" s="21">
        <v>1</v>
      </c>
      <c r="E18" s="21">
        <v>1</v>
      </c>
      <c r="F18" s="21">
        <v>3</v>
      </c>
      <c r="G18" s="21">
        <v>3</v>
      </c>
      <c r="H18" s="21">
        <v>1</v>
      </c>
      <c r="I18" s="31">
        <v>3</v>
      </c>
      <c r="J18" s="63">
        <f t="shared" si="0"/>
        <v>1.8571428571428572</v>
      </c>
    </row>
    <row r="19" spans="1:12" x14ac:dyDescent="0.25">
      <c r="A19" s="24" t="s">
        <v>21</v>
      </c>
      <c r="B19" s="39" t="s">
        <v>36</v>
      </c>
      <c r="C19" s="21">
        <v>1</v>
      </c>
      <c r="D19" s="21">
        <v>1</v>
      </c>
      <c r="E19" s="21">
        <v>1</v>
      </c>
      <c r="F19" s="21">
        <v>1</v>
      </c>
      <c r="G19" s="21">
        <v>2</v>
      </c>
      <c r="H19" s="21">
        <v>2</v>
      </c>
      <c r="I19" s="31">
        <v>3</v>
      </c>
      <c r="J19" s="63">
        <f t="shared" si="0"/>
        <v>1.5714285714285714</v>
      </c>
    </row>
    <row r="20" spans="1:12" x14ac:dyDescent="0.25">
      <c r="A20" s="24" t="s">
        <v>21</v>
      </c>
      <c r="B20" s="39" t="s">
        <v>41</v>
      </c>
      <c r="C20" s="21">
        <v>2</v>
      </c>
      <c r="D20" s="21">
        <v>2</v>
      </c>
      <c r="E20" s="21">
        <v>1</v>
      </c>
      <c r="F20" s="21">
        <v>1</v>
      </c>
      <c r="G20" s="21">
        <v>2</v>
      </c>
      <c r="H20" s="21">
        <v>2</v>
      </c>
      <c r="I20" s="31">
        <v>3</v>
      </c>
      <c r="J20" s="63">
        <f t="shared" si="0"/>
        <v>1.8571428571428572</v>
      </c>
    </row>
    <row r="21" spans="1:12" x14ac:dyDescent="0.25">
      <c r="A21" s="24" t="s">
        <v>21</v>
      </c>
      <c r="B21" s="39" t="s">
        <v>12</v>
      </c>
      <c r="C21" s="21">
        <v>1</v>
      </c>
      <c r="D21" s="21">
        <v>2</v>
      </c>
      <c r="E21" s="21">
        <v>1</v>
      </c>
      <c r="F21" s="21">
        <v>1</v>
      </c>
      <c r="G21" s="21">
        <v>2</v>
      </c>
      <c r="H21" s="21">
        <v>2</v>
      </c>
      <c r="I21" s="31">
        <v>3</v>
      </c>
      <c r="J21" s="63">
        <f t="shared" si="0"/>
        <v>1.7142857142857142</v>
      </c>
    </row>
    <row r="22" spans="1:12" ht="14.4" thickBot="1" x14ac:dyDescent="0.3">
      <c r="A22" s="24" t="s">
        <v>21</v>
      </c>
      <c r="B22" s="40" t="s">
        <v>45</v>
      </c>
      <c r="C22" s="22">
        <v>1</v>
      </c>
      <c r="D22" s="22">
        <v>2</v>
      </c>
      <c r="E22" s="22">
        <v>1</v>
      </c>
      <c r="F22" s="22">
        <v>1</v>
      </c>
      <c r="G22" s="22">
        <v>2</v>
      </c>
      <c r="H22" s="22">
        <v>2</v>
      </c>
      <c r="I22" s="32">
        <v>3</v>
      </c>
      <c r="J22" s="64">
        <f t="shared" si="0"/>
        <v>1.7142857142857142</v>
      </c>
    </row>
    <row r="23" spans="1:12" x14ac:dyDescent="0.25">
      <c r="A23" s="23" t="s">
        <v>124</v>
      </c>
      <c r="B23" s="33" t="s">
        <v>10</v>
      </c>
      <c r="C23" s="21">
        <v>1</v>
      </c>
      <c r="D23" s="21">
        <v>2</v>
      </c>
      <c r="E23" s="21">
        <v>1</v>
      </c>
      <c r="F23" s="21">
        <v>1</v>
      </c>
      <c r="G23" s="21">
        <v>2</v>
      </c>
      <c r="H23" s="21">
        <v>2</v>
      </c>
      <c r="I23" s="31">
        <v>3</v>
      </c>
      <c r="J23" s="63">
        <f t="shared" si="0"/>
        <v>1.7142857142857142</v>
      </c>
    </row>
    <row r="24" spans="1:12" x14ac:dyDescent="0.25">
      <c r="A24" s="24" t="s">
        <v>124</v>
      </c>
      <c r="B24" s="34" t="s">
        <v>37</v>
      </c>
      <c r="C24" s="21">
        <v>1</v>
      </c>
      <c r="D24" s="21">
        <v>2</v>
      </c>
      <c r="E24" s="21">
        <v>1</v>
      </c>
      <c r="F24" s="21">
        <v>1</v>
      </c>
      <c r="G24" s="21">
        <v>2</v>
      </c>
      <c r="H24" s="21">
        <v>2</v>
      </c>
      <c r="I24" s="31">
        <v>3</v>
      </c>
      <c r="J24" s="63">
        <f t="shared" si="0"/>
        <v>1.7142857142857142</v>
      </c>
    </row>
    <row r="25" spans="1:12" ht="14.4" thickBot="1" x14ac:dyDescent="0.3">
      <c r="A25" s="25" t="s">
        <v>124</v>
      </c>
      <c r="B25" s="36" t="s">
        <v>46</v>
      </c>
      <c r="C25" s="22">
        <v>1</v>
      </c>
      <c r="D25" s="22">
        <v>2</v>
      </c>
      <c r="E25" s="22">
        <v>1</v>
      </c>
      <c r="F25" s="22">
        <v>1</v>
      </c>
      <c r="G25" s="22">
        <v>2</v>
      </c>
      <c r="H25" s="22">
        <v>1</v>
      </c>
      <c r="I25" s="32">
        <v>3</v>
      </c>
      <c r="J25" s="63">
        <f t="shared" si="0"/>
        <v>1.5714285714285714</v>
      </c>
    </row>
    <row r="26" spans="1:12" x14ac:dyDescent="0.25">
      <c r="A26" s="23" t="s">
        <v>18</v>
      </c>
      <c r="B26" s="37" t="s">
        <v>29</v>
      </c>
      <c r="C26" s="21">
        <v>1</v>
      </c>
      <c r="D26" s="21">
        <v>2</v>
      </c>
      <c r="E26" s="21">
        <v>1</v>
      </c>
      <c r="F26" s="21">
        <v>1</v>
      </c>
      <c r="G26" s="21">
        <v>2</v>
      </c>
      <c r="H26" s="21">
        <v>2</v>
      </c>
      <c r="I26" s="31">
        <v>3</v>
      </c>
      <c r="J26" s="65">
        <f t="shared" si="0"/>
        <v>1.7142857142857142</v>
      </c>
    </row>
    <row r="27" spans="1:12" x14ac:dyDescent="0.25">
      <c r="A27" s="24" t="s">
        <v>18</v>
      </c>
      <c r="B27" s="34" t="s">
        <v>40</v>
      </c>
      <c r="C27" s="21">
        <v>2</v>
      </c>
      <c r="D27" s="21">
        <v>2</v>
      </c>
      <c r="E27" s="21">
        <v>1</v>
      </c>
      <c r="F27" s="21">
        <v>1</v>
      </c>
      <c r="G27" s="21">
        <v>2</v>
      </c>
      <c r="H27" s="21">
        <v>2</v>
      </c>
      <c r="I27" s="31">
        <v>3</v>
      </c>
      <c r="J27" s="63">
        <f t="shared" si="0"/>
        <v>1.8571428571428572</v>
      </c>
    </row>
    <row r="28" spans="1:12" x14ac:dyDescent="0.25">
      <c r="A28" s="24" t="s">
        <v>18</v>
      </c>
      <c r="B28" s="34" t="s">
        <v>13</v>
      </c>
      <c r="C28" s="21">
        <v>1</v>
      </c>
      <c r="D28" s="21">
        <v>2</v>
      </c>
      <c r="E28" s="21">
        <v>1</v>
      </c>
      <c r="F28" s="21">
        <v>1</v>
      </c>
      <c r="G28" s="21">
        <v>2</v>
      </c>
      <c r="H28" s="21">
        <v>2</v>
      </c>
      <c r="I28" s="31">
        <v>3</v>
      </c>
      <c r="J28" s="63">
        <f t="shared" si="0"/>
        <v>1.7142857142857142</v>
      </c>
    </row>
    <row r="29" spans="1:12" ht="14.4" thickBot="1" x14ac:dyDescent="0.3">
      <c r="A29" s="25" t="s">
        <v>18</v>
      </c>
      <c r="B29" s="36" t="s">
        <v>14</v>
      </c>
      <c r="C29" s="22">
        <v>2</v>
      </c>
      <c r="D29" s="22">
        <v>3</v>
      </c>
      <c r="E29" s="22">
        <v>3</v>
      </c>
      <c r="F29" s="22">
        <v>3</v>
      </c>
      <c r="G29" s="94">
        <v>2</v>
      </c>
      <c r="H29" s="22">
        <v>3</v>
      </c>
      <c r="I29" s="32">
        <v>3</v>
      </c>
      <c r="J29" s="64">
        <f t="shared" si="0"/>
        <v>2.7142857142857144</v>
      </c>
    </row>
    <row r="32" spans="1:12" ht="15.6" x14ac:dyDescent="0.3">
      <c r="B32" s="172" t="s">
        <v>162</v>
      </c>
      <c r="C32" s="172"/>
      <c r="D32" s="172"/>
      <c r="E32" s="172"/>
      <c r="F32" s="172"/>
      <c r="G32" s="172"/>
      <c r="H32" s="172"/>
      <c r="I32" s="172"/>
      <c r="J32" s="66"/>
      <c r="K32" s="66"/>
      <c r="L32" s="66"/>
    </row>
    <row r="33" spans="2:9" x14ac:dyDescent="0.25">
      <c r="B33" s="45" t="s">
        <v>137</v>
      </c>
      <c r="C33">
        <f>SUM(C3:C29)</f>
        <v>35</v>
      </c>
      <c r="D33">
        <f t="shared" ref="D33:I33" si="1">SUM(D3:D29)</f>
        <v>42</v>
      </c>
      <c r="E33">
        <f t="shared" si="1"/>
        <v>35</v>
      </c>
      <c r="F33">
        <f t="shared" si="1"/>
        <v>61</v>
      </c>
      <c r="G33">
        <f t="shared" si="1"/>
        <v>65</v>
      </c>
      <c r="H33">
        <f t="shared" si="1"/>
        <v>42</v>
      </c>
      <c r="I33">
        <f t="shared" si="1"/>
        <v>81</v>
      </c>
    </row>
    <row r="34" spans="2:9" x14ac:dyDescent="0.25">
      <c r="B34" s="45" t="s">
        <v>156</v>
      </c>
      <c r="C34" s="82">
        <f>AVERAGE(C3:C29)</f>
        <v>1.2962962962962963</v>
      </c>
      <c r="D34" s="82">
        <f t="shared" ref="D34:I34" si="2">AVERAGE(D3:D29)</f>
        <v>1.5555555555555556</v>
      </c>
      <c r="E34" s="82">
        <f t="shared" si="2"/>
        <v>1.2962962962962963</v>
      </c>
      <c r="F34" s="82">
        <f t="shared" si="2"/>
        <v>2.2592592592592591</v>
      </c>
      <c r="G34" s="82">
        <f t="shared" si="2"/>
        <v>2.4074074074074074</v>
      </c>
      <c r="H34" s="82">
        <f t="shared" si="2"/>
        <v>1.5555555555555556</v>
      </c>
      <c r="I34" s="82">
        <f t="shared" si="2"/>
        <v>3</v>
      </c>
    </row>
  </sheetData>
  <mergeCells count="2">
    <mergeCell ref="B32:I32"/>
    <mergeCell ref="A1:J1"/>
  </mergeCells>
  <conditionalFormatting sqref="C3:I29">
    <cfRule type="cellIs" dxfId="6" priority="4" operator="equal">
      <formula>0</formula>
    </cfRule>
  </conditionalFormatting>
  <conditionalFormatting sqref="C34:I34">
    <cfRule type="cellIs" dxfId="5" priority="1" operator="lessThan">
      <formula>2</formula>
    </cfRule>
    <cfRule type="cellIs" dxfId="4" priority="2" operator="between">
      <formula>2</formula>
      <formula>2.8</formula>
    </cfRule>
    <cfRule type="cellIs" dxfId="3" priority="3" operator="greaterThan">
      <formula>2.8</formula>
    </cfRule>
  </conditionalFormatting>
  <conditionalFormatting sqref="J3:J29">
    <cfRule type="cellIs" dxfId="2" priority="5" operator="lessThan">
      <formula>2</formula>
    </cfRule>
    <cfRule type="cellIs" dxfId="1" priority="6" operator="between">
      <formula>2</formula>
      <formula>2.8</formula>
    </cfRule>
    <cfRule type="cellIs" dxfId="0" priority="7" operator="greaterThan">
      <formula>2.8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ESG metrics</vt:lpstr>
      <vt:lpstr>Nifty 50</vt:lpstr>
      <vt:lpstr>aNALYSIS</vt:lpstr>
      <vt:lpstr>Analsysi 2</vt:lpstr>
      <vt:lpstr>Environmnet</vt:lpstr>
      <vt:lpstr>Social </vt:lpstr>
      <vt:lpstr>Governance</vt:lpstr>
      <vt:lpstr>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</dc:creator>
  <cp:lastModifiedBy>Aishwarya</cp:lastModifiedBy>
  <dcterms:created xsi:type="dcterms:W3CDTF">2026-07-13T14:42:00Z</dcterms:created>
  <dcterms:modified xsi:type="dcterms:W3CDTF">2026-07-18T14:25:48Z</dcterms:modified>
</cp:coreProperties>
</file>